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" sheetId="1" state="visible" r:id="rId1"/>
    <sheet xmlns:r="http://schemas.openxmlformats.org/officeDocument/2006/relationships" name="01_BOM總表" sheetId="2" state="visible" r:id="rId2"/>
    <sheet xmlns:r="http://schemas.openxmlformats.org/officeDocument/2006/relationships" name="02_木材下料" sheetId="3" state="visible" r:id="rId3"/>
    <sheet xmlns:r="http://schemas.openxmlformats.org/officeDocument/2006/relationships" name="03_成本彙總" sheetId="4" state="visible" r:id="rId4"/>
    <sheet xmlns:r="http://schemas.openxmlformats.org/officeDocument/2006/relationships" name="04_外購清單" sheetId="5" state="visible" r:id="rId5"/>
    <sheet xmlns:r="http://schemas.openxmlformats.org/officeDocument/2006/relationships" name="05_修訂紀錄" sheetId="6" state="visible" r:id="rId6"/>
  </sheets>
  <definedNames>
    <definedName name="_xlnm.Print_Titles" localSheetId="0">'00_封面'!$1:$5</definedName>
    <definedName name="_xlnm._FilterDatabase" localSheetId="1" hidden="1">'01_BOM總表'!$A$5:$N$29</definedName>
    <definedName name="_xlnm.Print_Titles" localSheetId="1">'01_BOM總表'!$1:$5</definedName>
    <definedName name="_xlnm.Print_Titles" localSheetId="2">'02_木材下料'!$1:$5</definedName>
    <definedName name="_xlnm.Print_Titles" localSheetId="3">'03_成本彙總'!$1:$5</definedName>
    <definedName name="_xlnm._FilterDatabase" localSheetId="4" hidden="1">'04_外購清單'!$A$5:$I$23</definedName>
    <definedName name="_xlnm.Print_Titles" localSheetId="4">'04_外購清單'!$1:$5</definedName>
    <definedName name="_xlnm.Print_Titles" localSheetId="5">'05_修訂紀錄'!$1:$5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##"/>
    <numFmt numFmtId="165" formatCode="&quot;NT$&quot;#,##0"/>
    <numFmt numFmtId="166" formatCode="0.000"/>
    <numFmt numFmtId="167" formatCode="0.0%"/>
    <numFmt numFmtId="168" formatCode="0.0"/>
  </numFmts>
  <fonts count="15">
    <font>
      <name val="Calibri"/>
      <family val="2"/>
      <color theme="1"/>
      <sz val="11"/>
      <scheme val="minor"/>
    </font>
    <font>
      <name val="Microsoft JhengHei"/>
      <b val="1"/>
      <color rgb="00F4EFE6"/>
      <sz val="16"/>
    </font>
    <font>
      <name val="Microsoft JhengHei"/>
      <color rgb="00F4EFE6"/>
      <sz val="9"/>
    </font>
    <font>
      <name val="Microsoft JhengHei"/>
      <b val="1"/>
      <color rgb="002C241C"/>
      <sz val="12"/>
    </font>
    <font>
      <name val="Microsoft JhengHei"/>
      <b val="1"/>
      <color rgb="00F4EFE6"/>
      <sz val="9"/>
    </font>
    <font>
      <name val="Microsoft JhengHei"/>
      <b val="1"/>
      <color rgb="008B5A2B"/>
      <sz val="9"/>
    </font>
    <font>
      <name val="Microsoft JhengHei"/>
      <color rgb="001B1B1B"/>
      <sz val="9"/>
    </font>
    <font>
      <name val="Microsoft JhengHei"/>
      <b val="1"/>
      <color rgb="00F4EFE6"/>
      <sz val="8"/>
    </font>
    <font>
      <name val="Microsoft JhengHei"/>
      <color rgb="006B6560"/>
      <sz val="8"/>
    </font>
    <font>
      <name val="Microsoft JhengHei"/>
      <color rgb="006B6560"/>
      <sz val="7"/>
    </font>
    <font>
      <name val="Microsoft JhengHei"/>
      <b val="1"/>
      <color rgb="001B1B1B"/>
      <sz val="9"/>
    </font>
    <font>
      <name val="Microsoft JhengHei"/>
      <color rgb="001B1B1B"/>
      <sz val="8"/>
    </font>
    <font>
      <name val="Microsoft JhengHei"/>
      <b val="1"/>
      <color rgb="001B1B1B"/>
      <sz val="8"/>
    </font>
    <font>
      <name val="Microsoft JhengHei"/>
      <b val="1"/>
      <color rgb="00F4EFE6"/>
      <sz val="10"/>
    </font>
    <font>
      <name val="Microsoft JhengHei"/>
      <b val="1"/>
      <color rgb="002C241C"/>
      <sz val="11"/>
    </font>
  </fonts>
  <fills count="17">
    <fill>
      <patternFill/>
    </fill>
    <fill>
      <patternFill patternType="gray125"/>
    </fill>
    <fill>
      <patternFill patternType="solid">
        <fgColor rgb="002C241C"/>
      </patternFill>
    </fill>
    <fill>
      <patternFill patternType="solid">
        <fgColor rgb="004A3B2A"/>
      </patternFill>
    </fill>
    <fill>
      <patternFill patternType="solid">
        <fgColor rgb="00FFFFFF"/>
      </patternFill>
    </fill>
    <fill>
      <patternFill patternType="solid">
        <fgColor rgb="00F7F1E8"/>
      </patternFill>
    </fill>
    <fill>
      <patternFill patternType="solid">
        <fgColor rgb="00F3EFE6"/>
      </patternFill>
    </fill>
    <fill>
      <patternFill patternType="solid">
        <fgColor rgb="00FBF9F4"/>
      </patternFill>
    </fill>
    <fill>
      <patternFill patternType="solid">
        <fgColor rgb="00E8D4B5"/>
      </patternFill>
    </fill>
    <fill>
      <patternFill patternType="solid">
        <fgColor rgb="00D9E2D4"/>
      </patternFill>
    </fill>
    <fill>
      <patternFill patternType="solid">
        <fgColor rgb="00D4DCE6"/>
      </patternFill>
    </fill>
    <fill>
      <patternFill patternType="solid">
        <fgColor rgb="00E6DCC8"/>
      </patternFill>
    </fill>
    <fill>
      <patternFill patternType="solid">
        <fgColor rgb="00E8D9C8"/>
      </patternFill>
    </fill>
    <fill>
      <patternFill patternType="solid">
        <fgColor rgb="00F0EBE3"/>
      </patternFill>
    </fill>
    <fill>
      <patternFill patternType="solid">
        <fgColor rgb="00E4E4E0"/>
      </patternFill>
    </fill>
    <fill>
      <patternFill patternType="solid">
        <fgColor rgb="00EDE4D8"/>
      </patternFill>
    </fill>
    <fill>
      <patternFill patternType="solid">
        <fgColor rgb="00E4C9A0"/>
      </patternFill>
    </fill>
  </fills>
  <borders count="2">
    <border>
      <left/>
      <right/>
      <top/>
      <bottom/>
      <diagonal/>
    </border>
    <border>
      <left style="thin">
        <color rgb="00C8C2B6"/>
      </left>
      <right style="thin">
        <color rgb="00C8C2B6"/>
      </right>
      <top style="thin">
        <color rgb="00C8C2B6"/>
      </top>
      <bottom style="thin">
        <color rgb="00C8C2B6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164" fontId="11" fillId="8" borderId="1" applyAlignment="1" pivotButton="0" quotePrefix="0" xfId="0">
      <alignment horizontal="center" vertical="center" wrapText="1"/>
    </xf>
    <xf numFmtId="3" fontId="11" fillId="8" borderId="1" applyAlignment="1" pivotButton="0" quotePrefix="0" xfId="0">
      <alignment horizontal="right" vertical="center" wrapText="1"/>
    </xf>
    <xf numFmtId="3" fontId="12" fillId="8" borderId="1" applyAlignment="1" pivotButton="0" quotePrefix="0" xfId="0">
      <alignment horizontal="righ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164" fontId="11" fillId="9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right" vertical="center" wrapText="1"/>
    </xf>
    <xf numFmtId="3" fontId="12" fillId="9" borderId="1" applyAlignment="1" pivotButton="0" quotePrefix="0" xfId="0">
      <alignment horizontal="righ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center" vertical="center" wrapText="1"/>
    </xf>
    <xf numFmtId="3" fontId="11" fillId="10" borderId="1" applyAlignment="1" pivotButton="0" quotePrefix="0" xfId="0">
      <alignment horizontal="right" vertical="center" wrapText="1"/>
    </xf>
    <xf numFmtId="3" fontId="12" fillId="10" borderId="1" applyAlignment="1" pivotButton="0" quotePrefix="0" xfId="0">
      <alignment horizontal="righ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right" vertical="center" wrapText="1"/>
    </xf>
    <xf numFmtId="3" fontId="12" fillId="11" borderId="1" applyAlignment="1" pivotButton="0" quotePrefix="0" xfId="0">
      <alignment horizontal="right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164" fontId="11" fillId="12" borderId="1" applyAlignment="1" pivotButton="0" quotePrefix="0" xfId="0">
      <alignment horizontal="center" vertical="center" wrapText="1"/>
    </xf>
    <xf numFmtId="3" fontId="11" fillId="12" borderId="1" applyAlignment="1" pivotButton="0" quotePrefix="0" xfId="0">
      <alignment horizontal="right" vertical="center" wrapText="1"/>
    </xf>
    <xf numFmtId="3" fontId="12" fillId="12" borderId="1" applyAlignment="1" pivotButton="0" quotePrefix="0" xfId="0">
      <alignment horizontal="right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164" fontId="11" fillId="13" borderId="1" applyAlignment="1" pivotButton="0" quotePrefix="0" xfId="0">
      <alignment horizontal="center" vertical="center" wrapText="1"/>
    </xf>
    <xf numFmtId="3" fontId="11" fillId="13" borderId="1" applyAlignment="1" pivotButton="0" quotePrefix="0" xfId="0">
      <alignment horizontal="right" vertical="center" wrapText="1"/>
    </xf>
    <xf numFmtId="3" fontId="12" fillId="13" borderId="1" applyAlignment="1" pivotButton="0" quotePrefix="0" xfId="0">
      <alignment horizontal="right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164" fontId="11" fillId="14" borderId="1" applyAlignment="1" pivotButton="0" quotePrefix="0" xfId="0">
      <alignment horizontal="center" vertical="center" wrapText="1"/>
    </xf>
    <xf numFmtId="3" fontId="11" fillId="14" borderId="1" applyAlignment="1" pivotButton="0" quotePrefix="0" xfId="0">
      <alignment horizontal="right" vertical="center" wrapText="1"/>
    </xf>
    <xf numFmtId="3" fontId="12" fillId="14" borderId="1" applyAlignment="1" pivotButton="0" quotePrefix="0" xfId="0">
      <alignment horizontal="right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164" fontId="11" fillId="15" borderId="1" applyAlignment="1" pivotButton="0" quotePrefix="0" xfId="0">
      <alignment horizontal="center" vertical="center" wrapText="1"/>
    </xf>
    <xf numFmtId="3" fontId="11" fillId="15" borderId="1" applyAlignment="1" pivotButton="0" quotePrefix="0" xfId="0">
      <alignment horizontal="right" vertical="center" wrapText="1"/>
    </xf>
    <xf numFmtId="3" fontId="12" fillId="15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2" borderId="1" pivotButton="0" quotePrefix="0" xfId="0"/>
    <xf numFmtId="165" fontId="13" fillId="2" borderId="1" applyAlignment="1" pivotButton="0" quotePrefix="0" xfId="0">
      <alignment horizontal="right" vertical="center" wrapText="1"/>
    </xf>
    <xf numFmtId="0" fontId="0" fillId="2" borderId="1" pivotButton="0" quotePrefix="0" xfId="0"/>
    <xf numFmtId="0" fontId="11" fillId="16" borderId="1" applyAlignment="1" pivotButton="0" quotePrefix="0" xfId="0">
      <alignment horizontal="right" vertical="center" wrapText="1"/>
    </xf>
    <xf numFmtId="0" fontId="0" fillId="16" borderId="1" pivotButton="0" quotePrefix="0" xfId="0"/>
    <xf numFmtId="0" fontId="8" fillId="0" borderId="0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6" fontId="13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3" fontId="10" fillId="8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center" vertical="center" wrapText="1"/>
    </xf>
    <xf numFmtId="167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3" fontId="6" fillId="9" borderId="1" applyAlignment="1" pivotButton="0" quotePrefix="0" xfId="0">
      <alignment horizontal="center" vertical="center" wrapText="1"/>
    </xf>
    <xf numFmtId="167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3" fontId="6" fillId="10" borderId="1" applyAlignment="1" pivotButton="0" quotePrefix="0" xfId="0">
      <alignment horizontal="center" vertical="center" wrapText="1"/>
    </xf>
    <xf numFmtId="167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3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3" fontId="6" fillId="12" borderId="1" applyAlignment="1" pivotButton="0" quotePrefix="0" xfId="0">
      <alignment horizontal="center" vertical="center" wrapText="1"/>
    </xf>
    <xf numFmtId="167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3" fontId="6" fillId="13" borderId="1" applyAlignment="1" pivotButton="0" quotePrefix="0" xfId="0">
      <alignment horizontal="center" vertical="center" wrapText="1"/>
    </xf>
    <xf numFmtId="167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3" fontId="6" fillId="14" borderId="1" applyAlignment="1" pivotButton="0" quotePrefix="0" xfId="0">
      <alignment horizontal="center" vertical="center" wrapText="1"/>
    </xf>
    <xf numFmtId="167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3" fontId="6" fillId="15" borderId="1" applyAlignment="1" pivotButton="0" quotePrefix="0" xfId="0">
      <alignment horizontal="center" vertical="center" wrapText="1"/>
    </xf>
    <xf numFmtId="167" fontId="6" fillId="1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8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165" fontId="10" fillId="16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164" fontId="11" fillId="4" borderId="1" applyAlignment="1" pivotButton="0" quotePrefix="0" xfId="0">
      <alignment horizontal="center" vertical="center" wrapText="1"/>
    </xf>
    <xf numFmtId="4" fontId="11" fillId="4" borderId="1" applyAlignment="1" pivotButton="0" quotePrefix="0" xfId="0">
      <alignment horizontal="center" vertical="center" wrapText="1"/>
    </xf>
    <xf numFmtId="3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164" fontId="11" fillId="5" borderId="1" applyAlignment="1" pivotButton="0" quotePrefix="0" xfId="0">
      <alignment horizontal="center" vertical="center" wrapText="1"/>
    </xf>
    <xf numFmtId="4" fontId="11" fillId="5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單椅材料成本結構（中位 NT$）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'03_成本彙總'!C6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'03_成本彙總'!$A$7:$A$14</f>
            </numRef>
          </cat>
          <val>
            <numRef>
              <f>'03_成本彙總'!$C$7:$C$14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NT$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C241C"/>
    <outlinePr summaryBelow="1" summaryRight="1"/>
    <pageSetUpPr fitToPage="1"/>
  </sheetPr>
  <dimension ref="A1:F28"/>
  <sheetViews>
    <sheetView showGridLines="0" zoomScale="11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WAVE  LOUNGE  CHAIR    工程用料清單  EBOM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圖號 WAVE-LC-001    版次 A    日期 2026-08-16    單位 NT$／mm    狀態：概念凍結前</t>
        </is>
      </c>
      <c r="B2" s="4" t="n"/>
      <c r="C2" s="4" t="n"/>
      <c r="D2" s="4" t="n"/>
      <c r="E2" s="4" t="n"/>
      <c r="F2" s="4" t="n"/>
    </row>
    <row r="3" ht="8" customHeight="1"/>
    <row r="4">
      <c r="A4" s="5" t="inlineStr">
        <is>
          <t>產品資訊</t>
        </is>
      </c>
    </row>
    <row r="6">
      <c r="A6" s="6" t="inlineStr">
        <is>
          <t>項目</t>
        </is>
      </c>
      <c r="B6" s="6" t="inlineStr">
        <is>
          <t>內容</t>
        </is>
      </c>
      <c r="C6" s="6" t="n"/>
      <c r="D6" s="6" t="n"/>
      <c r="E6" s="6" t="n"/>
      <c r="F6" s="6" t="n"/>
    </row>
    <row r="7" ht="20" customHeight="1">
      <c r="A7" s="7" t="inlineStr">
        <is>
          <t>產品名稱</t>
        </is>
      </c>
      <c r="B7" s="8" t="inlineStr">
        <is>
          <t>WAVE Lounge Chair 浪形實木休閒椅</t>
        </is>
      </c>
      <c r="C7" s="8" t="n"/>
      <c r="D7" s="8" t="n"/>
      <c r="E7" s="8" t="n"/>
      <c r="F7" s="8" t="n"/>
    </row>
    <row r="8" ht="20" customHeight="1">
      <c r="A8" s="9" t="inlineStr">
        <is>
          <t>產品定位</t>
        </is>
      </c>
      <c r="B8" s="10" t="inlineStr">
        <is>
          <t>高階訂製／精品酒店／展場／客廳主視覺</t>
        </is>
      </c>
      <c r="C8" s="10" t="n"/>
      <c r="D8" s="10" t="n"/>
      <c r="E8" s="10" t="n"/>
      <c r="F8" s="10" t="n"/>
    </row>
    <row r="9" ht="20" customHeight="1">
      <c r="A9" s="7" t="inlineStr">
        <is>
          <t>成品尺寸</t>
        </is>
      </c>
      <c r="B9" s="8" t="inlineStr">
        <is>
          <t>W 900  ×  D 960  ×  H 820 mm（座高含墊 400）</t>
        </is>
      </c>
      <c r="C9" s="8" t="n"/>
      <c r="D9" s="8" t="n"/>
      <c r="E9" s="8" t="n"/>
      <c r="F9" s="8" t="n"/>
    </row>
    <row r="10" ht="20" customHeight="1">
      <c r="A10" s="9" t="inlineStr">
        <is>
          <t>主結構</t>
        </is>
      </c>
      <c r="B10" s="10" t="inlineStr">
        <is>
          <t>左殼 A ＋ 右殼 B ＋ 座盆 C，層積實木 5 軸加工</t>
        </is>
      </c>
      <c r="C10" s="10" t="n"/>
      <c r="D10" s="10" t="n"/>
      <c r="E10" s="10" t="n"/>
      <c r="F10" s="10" t="n"/>
    </row>
    <row r="11" ht="20" customHeight="1">
      <c r="A11" s="7" t="inlineStr">
        <is>
          <t>主材</t>
        </is>
      </c>
      <c r="B11" s="8" t="inlineStr">
        <is>
          <t>歐洲／美國白橡 KD，含水率 8–10%（可改白蠟／山毛櫸／胡桃）</t>
        </is>
      </c>
      <c r="C11" s="8" t="n"/>
      <c r="D11" s="8" t="n"/>
      <c r="E11" s="8" t="n"/>
      <c r="F11" s="8" t="n"/>
    </row>
    <row r="12" ht="20" customHeight="1">
      <c r="A12" s="9" t="inlineStr">
        <is>
          <t>表面</t>
        </is>
      </c>
      <c r="B12" s="10" t="inlineStr">
        <is>
          <t>硬質油／硬蠟油，開放顯紋；薄緣不做厚 PU</t>
        </is>
      </c>
      <c r="C12" s="10" t="n"/>
      <c r="D12" s="10" t="n"/>
      <c r="E12" s="10" t="n"/>
      <c r="F12" s="10" t="n"/>
    </row>
    <row r="13" ht="20" customHeight="1">
      <c r="A13" s="7" t="inlineStr">
        <is>
          <t>軟包</t>
        </is>
      </c>
      <c r="B13" s="8" t="inlineStr">
        <is>
          <t>冷熟成型泡棉 60–90 mm ＋ 頭層牛皮或超纖</t>
        </is>
      </c>
      <c r="C13" s="8" t="n"/>
      <c r="D13" s="8" t="n"/>
      <c r="E13" s="8" t="n"/>
      <c r="F13" s="8" t="n"/>
    </row>
    <row r="14" ht="20" customHeight="1">
      <c r="A14" s="9" t="inlineStr">
        <is>
          <t>BOM 基準</t>
        </is>
      </c>
      <c r="B14" s="10" t="inlineStr">
        <is>
          <t>成品 1 椅；成本以小量 10 件／件估算（工裝按 10 件攤）</t>
        </is>
      </c>
      <c r="C14" s="10" t="n"/>
      <c r="D14" s="10" t="n"/>
      <c r="E14" s="10" t="n"/>
      <c r="F14" s="10" t="n"/>
    </row>
    <row r="15" ht="20" customHeight="1">
      <c r="A15" s="7" t="inlineStr">
        <is>
          <t>對應圖面</t>
        </is>
      </c>
      <c r="B15" s="8" t="inlineStr">
        <is>
          <t>WAVE-LC-001 概念三視圖 Rev.A</t>
        </is>
      </c>
      <c r="C15" s="8" t="n"/>
      <c r="D15" s="8" t="n"/>
      <c r="E15" s="8" t="n"/>
      <c r="F15" s="8" t="n"/>
    </row>
    <row r="16" ht="20" customHeight="1">
      <c r="A16" s="9" t="inlineStr">
        <is>
          <t>編製</t>
        </is>
      </c>
      <c r="B16" s="10" t="inlineStr">
        <is>
          <t>材料顧問 ＋ 生產優化工程師</t>
        </is>
      </c>
      <c r="C16" s="10" t="n"/>
      <c r="D16" s="10" t="n"/>
      <c r="E16" s="10" t="n"/>
      <c r="F16" s="10" t="n"/>
    </row>
    <row r="17" ht="20" customHeight="1">
      <c r="A17" s="7" t="inlineStr">
        <is>
          <t>注意</t>
        </is>
      </c>
      <c r="B17" s="8" t="inlineStr">
        <is>
          <t>3D 未凍結前，毛坯尺寸為估列，採購請加 15–20% 備料</t>
        </is>
      </c>
      <c r="C17" s="8" t="n"/>
      <c r="D17" s="8" t="n"/>
      <c r="E17" s="8" t="n"/>
      <c r="F17" s="8" t="n"/>
    </row>
    <row r="19">
      <c r="A19" s="5" t="inlineStr">
        <is>
          <t>分件示意</t>
        </is>
      </c>
    </row>
    <row r="20" ht="20" customHeight="1">
      <c r="A20" s="11" t="inlineStr">
        <is>
          <t>料號</t>
        </is>
      </c>
      <c r="B20" s="11" t="inlineStr">
        <is>
          <t>名稱</t>
        </is>
      </c>
      <c r="C20" s="11" t="inlineStr">
        <is>
          <t>角色</t>
        </is>
      </c>
      <c r="D20" s="11" t="inlineStr">
        <is>
          <t>毛坯估（mm）</t>
        </is>
      </c>
      <c r="E20" s="11" t="inlineStr">
        <is>
          <t>淨材積估</t>
        </is>
      </c>
      <c r="F20" s="11" t="inlineStr">
        <is>
          <t>來源</t>
        </is>
      </c>
    </row>
    <row r="21" ht="20" customHeight="1">
      <c r="A21" s="12" t="inlineStr">
        <is>
          <t>WAVE-A01</t>
        </is>
      </c>
      <c r="B21" s="10" t="inlineStr">
        <is>
          <t>左殼</t>
        </is>
      </c>
      <c r="C21" s="12" t="inlineStr">
        <is>
          <t>主承重＋造型</t>
        </is>
      </c>
      <c r="D21" s="12" t="inlineStr">
        <is>
          <t>500 × 900 × 220</t>
        </is>
      </c>
      <c r="E21" s="12" t="inlineStr">
        <is>
          <t>0.028–0.036 m³</t>
        </is>
      </c>
      <c r="F21" s="12" t="inlineStr">
        <is>
          <t>自製 CNC</t>
        </is>
      </c>
    </row>
    <row r="22" ht="20" customHeight="1">
      <c r="A22" s="13" t="inlineStr">
        <is>
          <t>WAVE-B01</t>
        </is>
      </c>
      <c r="B22" s="8" t="inlineStr">
        <is>
          <t>右殼</t>
        </is>
      </c>
      <c r="C22" s="13" t="inlineStr">
        <is>
          <t>主承重＋造型</t>
        </is>
      </c>
      <c r="D22" s="13" t="inlineStr">
        <is>
          <t>500 × 900 × 220</t>
        </is>
      </c>
      <c r="E22" s="13" t="inlineStr">
        <is>
          <t>0.028–0.036 m³</t>
        </is>
      </c>
      <c r="F22" s="13" t="inlineStr">
        <is>
          <t>自製 CNC</t>
        </is>
      </c>
    </row>
    <row r="23" ht="20" customHeight="1">
      <c r="A23" s="12" t="inlineStr">
        <is>
          <t>WAVE-C01</t>
        </is>
      </c>
      <c r="B23" s="10" t="inlineStr">
        <is>
          <t>座盆／脊板</t>
        </is>
      </c>
      <c r="C23" s="12" t="inlineStr">
        <is>
          <t>坐壓傳遞、藏縫</t>
        </is>
      </c>
      <c r="D23" s="12" t="inlineStr">
        <is>
          <t>560 × 620 × 80</t>
        </is>
      </c>
      <c r="E23" s="12" t="inlineStr">
        <is>
          <t>0.012–0.018 m³</t>
        </is>
      </c>
      <c r="F23" s="12" t="inlineStr">
        <is>
          <t>自製 CNC</t>
        </is>
      </c>
    </row>
    <row r="24" ht="20" customHeight="1">
      <c r="A24" s="13" t="inlineStr">
        <is>
          <t>WAVE-U01/U02</t>
        </is>
      </c>
      <c r="B24" s="8" t="inlineStr">
        <is>
          <t>軟包總成</t>
        </is>
      </c>
      <c r="C24" s="13" t="inlineStr">
        <is>
          <t>人體工學</t>
        </is>
      </c>
      <c r="D24" s="13" t="inlineStr">
        <is>
          <t>依盆／背陰模</t>
        </is>
      </c>
      <c r="E24" s="13" t="inlineStr">
        <is>
          <t>—</t>
        </is>
      </c>
      <c r="F24" s="13" t="inlineStr">
        <is>
          <t>外購</t>
        </is>
      </c>
    </row>
    <row r="25" ht="20" customHeight="1">
      <c r="A25" s="12" t="inlineStr">
        <is>
          <t>WAVE-H01</t>
        </is>
      </c>
      <c r="B25" s="10" t="inlineStr">
        <is>
          <t>調整腳墊 ×4</t>
        </is>
      </c>
      <c r="C25" s="12" t="inlineStr">
        <is>
          <t>接地微調</t>
        </is>
      </c>
      <c r="D25" s="12" t="inlineStr">
        <is>
          <t>Ø20–25</t>
        </is>
      </c>
      <c r="E25" s="12" t="inlineStr">
        <is>
          <t>—</t>
        </is>
      </c>
      <c r="F25" s="12" t="inlineStr">
        <is>
          <t>外購</t>
        </is>
      </c>
    </row>
    <row r="27">
      <c r="A27" s="14" t="inlineStr">
        <is>
          <t>本 BOM 為工程概念清單（EBOM），對應尚未凍結之 3D。木材毛坯、軟包開料、治具攤提將在分件模型確認後改為正式 MBOM／採購 BOM。單價為 2026 台灣市場粗估，實際以當期報價為準。</t>
        </is>
      </c>
    </row>
    <row r="28"/>
  </sheetData>
  <mergeCells count="17">
    <mergeCell ref="A2:F2"/>
    <mergeCell ref="B12:F12"/>
    <mergeCell ref="B7:F7"/>
    <mergeCell ref="B6:F6"/>
    <mergeCell ref="B16:F16"/>
    <mergeCell ref="A19:F19"/>
    <mergeCell ref="B15:F15"/>
    <mergeCell ref="B10:F10"/>
    <mergeCell ref="A1:F1"/>
    <mergeCell ref="B11:F11"/>
    <mergeCell ref="B14:F14"/>
    <mergeCell ref="A27:F28"/>
    <mergeCell ref="A4:F4"/>
    <mergeCell ref="B8:F8"/>
    <mergeCell ref="B17:F17"/>
    <mergeCell ref="B9:F9"/>
    <mergeCell ref="B13:F13"/>
  </mergeCells>
  <pageMargins left="0.5" right="0.5" top="0.7" bottom="0.6" header="0.3" footer="0.3"/>
  <pageSetup orientation="landscape" paperSize="8" fitToHeight="1" fitToWidth="1"/>
  <headerFooter>
    <oddHeader>&amp;L&amp;B WAVE Lounge Chair&amp;R封面</oddHeader>
    <oddFooter>&amp;LWAVE-LC-001  BOM  Rev.A&amp;C概念工程 BOM，不可直接當採購單（未凍結 3D）&amp;R第 &amp;P /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B5A2B"/>
    <outlinePr summaryBelow="1" summaryRight="1"/>
    <pageSetUpPr fitToPage="1"/>
  </sheetPr>
  <dimension ref="A1:N35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2" customWidth="1" min="4" max="4"/>
    <col width="42" customWidth="1" min="5" max="5"/>
    <col width="2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24" customHeight="1">
      <c r="A1" s="1" t="inlineStr">
        <is>
          <t>WAVE  LOUNGE  CHAIR    工程用料清單  EBOM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6" customHeight="1">
      <c r="A2" s="3" t="inlineStr">
        <is>
          <t>基準：成品 1 椅　　成本：小量 10 件攤工裝　　幣別：新台幣 NT$　　圖號 WAVE-LC-001 Rev.A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18" customHeight="1">
      <c r="A3" s="15" t="inlineStr">
        <is>
          <t>產品</t>
        </is>
      </c>
      <c r="B3" s="15" t="n"/>
      <c r="C3" s="15" t="inlineStr">
        <is>
          <t>成品尺寸</t>
        </is>
      </c>
      <c r="D3" s="15" t="n"/>
      <c r="E3" s="15" t="inlineStr">
        <is>
          <t>主材</t>
        </is>
      </c>
      <c r="F3" s="15" t="n"/>
      <c r="G3" s="15" t="inlineStr">
        <is>
          <t>BOM 版次</t>
        </is>
      </c>
      <c r="H3" s="15" t="n"/>
      <c r="I3" s="15" t="inlineStr">
        <is>
          <t>數量基準</t>
        </is>
      </c>
      <c r="J3" s="15" t="n"/>
      <c r="K3" s="15" t="inlineStr">
        <is>
          <t>狀態</t>
        </is>
      </c>
      <c r="L3" s="15" t="n"/>
      <c r="M3" s="15" t="inlineStr">
        <is>
          <t>編製</t>
        </is>
      </c>
      <c r="N3" s="15" t="n"/>
    </row>
    <row r="4" ht="18" customHeight="1">
      <c r="A4" s="16" t="inlineStr">
        <is>
          <t>WAVE Lounge Chair</t>
        </is>
      </c>
      <c r="B4" s="16" t="n"/>
      <c r="C4" s="16" t="inlineStr">
        <is>
          <t>900 × 960 × 820 mm</t>
        </is>
      </c>
      <c r="D4" s="16" t="n"/>
      <c r="E4" s="16" t="inlineStr">
        <is>
          <t>白橡層積實木</t>
        </is>
      </c>
      <c r="F4" s="16" t="n"/>
      <c r="G4" s="16" t="inlineStr">
        <is>
          <t>A  /  2026-08-16</t>
        </is>
      </c>
      <c r="H4" s="16" t="n"/>
      <c r="I4" s="16" t="inlineStr">
        <is>
          <t>1 椅</t>
        </is>
      </c>
      <c r="J4" s="16" t="n"/>
      <c r="K4" s="16" t="inlineStr">
        <is>
          <t>概念／未凍結</t>
        </is>
      </c>
      <c r="L4" s="16" t="n"/>
      <c r="M4" s="16" t="inlineStr">
        <is>
          <t>材料顧問＋生產優化</t>
        </is>
      </c>
      <c r="N4" s="16" t="n"/>
    </row>
    <row r="5" ht="20" customHeight="1">
      <c r="A5" s="11" t="inlineStr">
        <is>
          <t>項次</t>
        </is>
      </c>
      <c r="B5" s="11" t="inlineStr">
        <is>
          <t>料號</t>
        </is>
      </c>
      <c r="C5" s="11" t="inlineStr">
        <is>
          <t>名稱</t>
        </is>
      </c>
      <c r="D5" s="11" t="inlineStr">
        <is>
          <t>類別</t>
        </is>
      </c>
      <c r="E5" s="11" t="inlineStr">
        <is>
          <t>規格／材質</t>
        </is>
      </c>
      <c r="F5" s="11" t="inlineStr">
        <is>
          <t>毛坯／用量</t>
        </is>
      </c>
      <c r="G5" s="11" t="inlineStr">
        <is>
          <t>數量</t>
        </is>
      </c>
      <c r="H5" s="11" t="inlineStr">
        <is>
          <t>單位</t>
        </is>
      </c>
      <c r="I5" s="11" t="inlineStr">
        <is>
          <t>來源</t>
        </is>
      </c>
      <c r="J5" s="11" t="inlineStr">
        <is>
          <t>單價低</t>
        </is>
      </c>
      <c r="K5" s="11" t="inlineStr">
        <is>
          <t>單價中</t>
        </is>
      </c>
      <c r="L5" s="11" t="inlineStr">
        <is>
          <t>單價高</t>
        </is>
      </c>
      <c r="M5" s="11" t="inlineStr">
        <is>
          <t>金額（中）</t>
        </is>
      </c>
      <c r="N5" s="11" t="inlineStr">
        <is>
          <t>工藝／備註</t>
        </is>
      </c>
    </row>
    <row r="6" ht="32" customHeight="1">
      <c r="A6" s="17" t="n">
        <v>1</v>
      </c>
      <c r="B6" s="18" t="inlineStr">
        <is>
          <t>WAVE-A01</t>
        </is>
      </c>
      <c r="C6" s="19" t="inlineStr">
        <is>
          <t>左殼（扶手＋側腹＋左前舌＋左後踵）</t>
        </is>
      </c>
      <c r="D6" s="17" t="inlineStr">
        <is>
          <t>結構木材</t>
        </is>
      </c>
      <c r="E6" s="19" t="inlineStr">
        <is>
          <t>歐洲／美國白橡 層積實木，單層 22–28 mm，順紋沿緞帶</t>
        </is>
      </c>
      <c r="F6" s="19" t="inlineStr">
        <is>
          <t>毛坯 500 × 900 × 220</t>
        </is>
      </c>
      <c r="G6" s="20" t="n">
        <v>1</v>
      </c>
      <c r="H6" s="17" t="inlineStr">
        <is>
          <t>件</t>
        </is>
      </c>
      <c r="I6" s="17" t="inlineStr">
        <is>
          <t>自製</t>
        </is>
      </c>
      <c r="J6" s="21" t="n">
        <v>4800</v>
      </c>
      <c r="K6" s="21" t="n">
        <v>6200</v>
      </c>
      <c r="L6" s="21" t="n">
        <v>8200</v>
      </c>
      <c r="M6" s="22" t="n">
        <v>6200</v>
      </c>
      <c r="N6" s="19" t="inlineStr">
        <is>
          <t>含水率 8–10%；5 軸 OP1–OP3；最薄緣 ≥22 mm</t>
        </is>
      </c>
    </row>
    <row r="7" ht="32" customHeight="1">
      <c r="A7" s="17" t="n">
        <v>2</v>
      </c>
      <c r="B7" s="18" t="inlineStr">
        <is>
          <t>WAVE-B01</t>
        </is>
      </c>
      <c r="C7" s="19" t="inlineStr">
        <is>
          <t>右殼（與 A01 對稱）</t>
        </is>
      </c>
      <c r="D7" s="17" t="inlineStr">
        <is>
          <t>結構木材</t>
        </is>
      </c>
      <c r="E7" s="19" t="inlineStr">
        <is>
          <t>同 A01，成對選料、色號一致</t>
        </is>
      </c>
      <c r="F7" s="19" t="inlineStr">
        <is>
          <t>毛坯 500 × 900 × 220</t>
        </is>
      </c>
      <c r="G7" s="20" t="n">
        <v>1</v>
      </c>
      <c r="H7" s="17" t="inlineStr">
        <is>
          <t>件</t>
        </is>
      </c>
      <c r="I7" s="17" t="inlineStr">
        <is>
          <t>自製</t>
        </is>
      </c>
      <c r="J7" s="21" t="n">
        <v>4800</v>
      </c>
      <c r="K7" s="21" t="n">
        <v>6200</v>
      </c>
      <c r="L7" s="21" t="n">
        <v>8200</v>
      </c>
      <c r="M7" s="22" t="n">
        <v>6200</v>
      </c>
      <c r="N7" s="19" t="inlineStr">
        <is>
          <t>與 A01 同批出材，避免左右色差</t>
        </is>
      </c>
    </row>
    <row r="8" ht="32" customHeight="1">
      <c r="A8" s="17" t="n">
        <v>3</v>
      </c>
      <c r="B8" s="18" t="inlineStr">
        <is>
          <t>WAVE-C01</t>
        </is>
      </c>
      <c r="C8" s="19" t="inlineStr">
        <is>
          <t>座盆／脊板</t>
        </is>
      </c>
      <c r="D8" s="17" t="inlineStr">
        <is>
          <t>結構木材</t>
        </is>
      </c>
      <c r="E8" s="19" t="inlineStr">
        <is>
          <t>白橡層積，盆底等效厚 ≥32 mm</t>
        </is>
      </c>
      <c r="F8" s="19" t="inlineStr">
        <is>
          <t>毛坯 560 × 620 × 80</t>
        </is>
      </c>
      <c r="G8" s="20" t="n">
        <v>1</v>
      </c>
      <c r="H8" s="17" t="inlineStr">
        <is>
          <t>件</t>
        </is>
      </c>
      <c r="I8" s="17" t="inlineStr">
        <is>
          <t>自製</t>
        </is>
      </c>
      <c r="J8" s="21" t="n">
        <v>1100</v>
      </c>
      <c r="K8" s="21" t="n">
        <v>1500</v>
      </c>
      <c r="L8" s="21" t="n">
        <v>2100</v>
      </c>
      <c r="M8" s="22" t="n">
        <v>1500</v>
      </c>
      <c r="N8" s="19" t="inlineStr">
        <is>
          <t>止口 8–10 mm 與 A/B 對接；軟包完全遮縫</t>
        </is>
      </c>
    </row>
    <row r="9" ht="32" customHeight="1">
      <c r="A9" s="17" t="n">
        <v>4</v>
      </c>
      <c r="B9" s="18" t="inlineStr">
        <is>
          <t>WAVE-W09</t>
        </is>
      </c>
      <c r="C9" s="19" t="inlineStr">
        <is>
          <t>色差備料／補片（同批）</t>
        </is>
      </c>
      <c r="D9" s="17" t="inlineStr">
        <is>
          <t>結構木材</t>
        </is>
      </c>
      <c r="E9" s="19" t="inlineStr">
        <is>
          <t>白橡，與主材同批、同含水</t>
        </is>
      </c>
      <c r="F9" s="19" t="inlineStr">
        <is>
          <t>約 0.020 m³</t>
        </is>
      </c>
      <c r="G9" s="20" t="n">
        <v>1</v>
      </c>
      <c r="H9" s="17" t="inlineStr">
        <is>
          <t>批</t>
        </is>
      </c>
      <c r="I9" s="17" t="inlineStr">
        <is>
          <t>自製</t>
        </is>
      </c>
      <c r="J9" s="21" t="n">
        <v>700</v>
      </c>
      <c r="K9" s="21" t="n">
        <v>1000</v>
      </c>
      <c r="L9" s="21" t="n">
        <v>1400</v>
      </c>
      <c r="M9" s="22" t="n">
        <v>1000</v>
      </c>
      <c r="N9" s="19" t="inlineStr">
        <is>
          <t>薄緣崩缺、端紋補片用；小量備料係數 1.15</t>
        </is>
      </c>
    </row>
    <row r="10" ht="32" customHeight="1">
      <c r="A10" s="23" t="n">
        <v>5</v>
      </c>
      <c r="B10" s="24" t="inlineStr">
        <is>
          <t>WAVE-J01</t>
        </is>
      </c>
      <c r="C10" s="25" t="inlineStr">
        <is>
          <t>圓榫／鬆榫</t>
        </is>
      </c>
      <c r="D10" s="23" t="inlineStr">
        <is>
          <t>接合件</t>
        </is>
      </c>
      <c r="E10" s="25" t="inlineStr">
        <is>
          <t>山毛櫸 Ø8 × 40，或 Domino 8×50（結構節點改 14×75）</t>
        </is>
      </c>
      <c r="F10" s="25" t="inlineStr">
        <is>
          <t>—</t>
        </is>
      </c>
      <c r="G10" s="26" t="n">
        <v>18</v>
      </c>
      <c r="H10" s="23" t="inlineStr">
        <is>
          <t>支</t>
        </is>
      </c>
      <c r="I10" s="23" t="inlineStr">
        <is>
          <t>外購</t>
        </is>
      </c>
      <c r="J10" s="27" t="n">
        <v>4.444444444444445</v>
      </c>
      <c r="K10" s="27" t="n">
        <v>8.333333333333334</v>
      </c>
      <c r="L10" s="27" t="n">
        <v>15.55555555555556</v>
      </c>
      <c r="M10" s="28" t="n">
        <v>150</v>
      </c>
      <c r="N10" s="25" t="inlineStr">
        <is>
          <t>間距 80–110 mm；銷孔 H7，位置 ±0.08</t>
        </is>
      </c>
    </row>
    <row r="11" ht="32" customHeight="1">
      <c r="A11" s="23" t="n">
        <v>6</v>
      </c>
      <c r="B11" s="24" t="inlineStr">
        <is>
          <t>WAVE-J02</t>
        </is>
      </c>
      <c r="C11" s="25" t="inlineStr">
        <is>
          <t>對位銷（組裝治具用，成品不留）</t>
        </is>
      </c>
      <c r="D11" s="23" t="inlineStr">
        <is>
          <t>接合件</t>
        </is>
      </c>
      <c r="E11" s="25" t="inlineStr">
        <is>
          <t>鋼銷 Ø8 h6，或工藝孔內木銷後切掉</t>
        </is>
      </c>
      <c r="F11" s="25" t="inlineStr">
        <is>
          <t>—</t>
        </is>
      </c>
      <c r="G11" s="26" t="n">
        <v>4</v>
      </c>
      <c r="H11" s="23" t="inlineStr">
        <is>
          <t>支</t>
        </is>
      </c>
      <c r="I11" s="23" t="inlineStr">
        <is>
          <t>外購</t>
        </is>
      </c>
      <c r="J11" s="27" t="n">
        <v>5</v>
      </c>
      <c r="K11" s="27" t="n">
        <v>10</v>
      </c>
      <c r="L11" s="27" t="n">
        <v>15</v>
      </c>
      <c r="M11" s="28" t="n">
        <v>40</v>
      </c>
      <c r="N11" s="25" t="inlineStr">
        <is>
          <t>僅組裝；成品不可外露</t>
        </is>
      </c>
    </row>
    <row r="12" ht="32" customHeight="1">
      <c r="A12" s="29" t="n">
        <v>7</v>
      </c>
      <c r="B12" s="30" t="inlineStr">
        <is>
          <t>WAVE-H01</t>
        </is>
      </c>
      <c r="C12" s="31" t="inlineStr">
        <is>
          <t>隱藏調整腳墊</t>
        </is>
      </c>
      <c r="D12" s="29" t="inlineStr">
        <is>
          <t>五金</t>
        </is>
      </c>
      <c r="E12" s="31" t="inlineStr">
        <is>
          <t>Ø20–25 mm，M8 牙，調程 ±3 mm，底附氈</t>
        </is>
      </c>
      <c r="F12" s="31" t="inlineStr">
        <is>
          <t>—</t>
        </is>
      </c>
      <c r="G12" s="32" t="n">
        <v>4</v>
      </c>
      <c r="H12" s="29" t="inlineStr">
        <is>
          <t>顆</t>
        </is>
      </c>
      <c r="I12" s="29" t="inlineStr">
        <is>
          <t>外購</t>
        </is>
      </c>
      <c r="J12" s="33" t="n">
        <v>20</v>
      </c>
      <c r="K12" s="33" t="n">
        <v>30</v>
      </c>
      <c r="L12" s="33" t="n">
        <v>50</v>
      </c>
      <c r="M12" s="34" t="n">
        <v>120</v>
      </c>
      <c r="N12" s="31" t="inlineStr">
        <is>
          <t>消化接地平面度 0.5 mm／全長</t>
        </is>
      </c>
    </row>
    <row r="13" ht="32" customHeight="1">
      <c r="A13" s="29" t="n">
        <v>8</v>
      </c>
      <c r="B13" s="30" t="inlineStr">
        <is>
          <t>WAVE-H02</t>
        </is>
      </c>
      <c r="C13" s="31" t="inlineStr">
        <is>
          <t>防刮氈墊（備用）</t>
        </is>
      </c>
      <c r="D13" s="29" t="inlineStr">
        <is>
          <t>五金</t>
        </is>
      </c>
      <c r="E13" s="31" t="inlineStr">
        <is>
          <t>Ø25 自黏羊毛氈，厚 3 mm</t>
        </is>
      </c>
      <c r="F13" s="31" t="inlineStr">
        <is>
          <t>—</t>
        </is>
      </c>
      <c r="G13" s="32" t="n">
        <v>4</v>
      </c>
      <c r="H13" s="29" t="inlineStr">
        <is>
          <t>片</t>
        </is>
      </c>
      <c r="I13" s="29" t="inlineStr">
        <is>
          <t>外購</t>
        </is>
      </c>
      <c r="J13" s="33" t="n">
        <v>2.5</v>
      </c>
      <c r="K13" s="33" t="n">
        <v>5</v>
      </c>
      <c r="L13" s="33" t="n">
        <v>10</v>
      </c>
      <c r="M13" s="34" t="n">
        <v>20</v>
      </c>
      <c r="N13" s="31" t="inlineStr">
        <is>
          <t>若 H01 已附氈可省略</t>
        </is>
      </c>
    </row>
    <row r="14" ht="32" customHeight="1">
      <c r="A14" s="29" t="n">
        <v>9</v>
      </c>
      <c r="B14" s="30" t="inlineStr">
        <is>
          <t>WAVE-H03</t>
        </is>
      </c>
      <c r="C14" s="31" t="inlineStr">
        <is>
          <t>軟包定位（魔鬼氈或暗銷）</t>
        </is>
      </c>
      <c r="D14" s="29" t="inlineStr">
        <is>
          <t>五金</t>
        </is>
      </c>
      <c r="E14" s="31" t="inlineStr">
        <is>
          <t>3M Dual Lock 或 Ø6 木暗銷 4 點</t>
        </is>
      </c>
      <c r="F14" s="31" t="inlineStr">
        <is>
          <t>—</t>
        </is>
      </c>
      <c r="G14" s="32" t="n">
        <v>1</v>
      </c>
      <c r="H14" s="29" t="inlineStr">
        <is>
          <t>套</t>
        </is>
      </c>
      <c r="I14" s="29" t="inlineStr">
        <is>
          <t>外購</t>
        </is>
      </c>
      <c r="J14" s="33" t="n">
        <v>30</v>
      </c>
      <c r="K14" s="33" t="n">
        <v>60</v>
      </c>
      <c r="L14" s="33" t="n">
        <v>120</v>
      </c>
      <c r="M14" s="34" t="n">
        <v>60</v>
      </c>
      <c r="N14" s="31" t="inlineStr">
        <is>
          <t>坐墊可拆洗；不可用外露螺絲</t>
        </is>
      </c>
    </row>
    <row r="15" ht="32" customHeight="1">
      <c r="A15" s="35" t="n">
        <v>10</v>
      </c>
      <c r="B15" s="36" t="inlineStr">
        <is>
          <t>WAVE-G01</t>
        </is>
      </c>
      <c r="C15" s="37" t="inlineStr">
        <is>
          <t>層積膠</t>
        </is>
      </c>
      <c r="D15" s="35" t="inlineStr">
        <is>
          <t>膠合</t>
        </is>
      </c>
      <c r="E15" s="37" t="inlineStr">
        <is>
          <t>EPI 或 PVAc D4，實木層積</t>
        </is>
      </c>
      <c r="F15" s="37" t="inlineStr">
        <is>
          <t>約 0.80 kg／椅</t>
        </is>
      </c>
      <c r="G15" s="38" t="n">
        <v>0.8</v>
      </c>
      <c r="H15" s="35" t="inlineStr">
        <is>
          <t>kg</t>
        </is>
      </c>
      <c r="I15" s="35" t="inlineStr">
        <is>
          <t>外購</t>
        </is>
      </c>
      <c r="J15" s="39" t="n">
        <v>175</v>
      </c>
      <c r="K15" s="39" t="n">
        <v>250</v>
      </c>
      <c r="L15" s="39" t="n">
        <v>350</v>
      </c>
      <c r="M15" s="40" t="n">
        <v>200</v>
      </c>
      <c r="N15" s="37" t="inlineStr">
        <is>
          <t>層間交錯年輪；加壓養護 ≥4 h</t>
        </is>
      </c>
    </row>
    <row r="16" ht="32" customHeight="1">
      <c r="A16" s="35" t="n">
        <v>11</v>
      </c>
      <c r="B16" s="36" t="inlineStr">
        <is>
          <t>WAVE-G02</t>
        </is>
      </c>
      <c r="C16" s="37" t="inlineStr">
        <is>
          <t>結構組裝膠</t>
        </is>
      </c>
      <c r="D16" s="35" t="inlineStr">
        <is>
          <t>膠合</t>
        </is>
      </c>
      <c r="E16" s="37" t="inlineStr">
        <is>
          <t>室溫環氧或高固形 PU（端紋／止口）</t>
        </is>
      </c>
      <c r="F16" s="37" t="inlineStr">
        <is>
          <t>約 80 g／椅</t>
        </is>
      </c>
      <c r="G16" s="38" t="n">
        <v>0.08</v>
      </c>
      <c r="H16" s="35" t="inlineStr">
        <is>
          <t>kg</t>
        </is>
      </c>
      <c r="I16" s="35" t="inlineStr">
        <is>
          <t>外購</t>
        </is>
      </c>
      <c r="J16" s="39" t="n">
        <v>1000</v>
      </c>
      <c r="K16" s="39" t="n">
        <v>1750</v>
      </c>
      <c r="L16" s="39" t="n">
        <v>2750</v>
      </c>
      <c r="M16" s="40" t="n">
        <v>140</v>
      </c>
      <c r="N16" s="37" t="inlineStr">
        <is>
          <t>白膠不建議用於端紋對接</t>
        </is>
      </c>
    </row>
    <row r="17" ht="32" customHeight="1">
      <c r="A17" s="35" t="n">
        <v>12</v>
      </c>
      <c r="B17" s="36" t="inlineStr">
        <is>
          <t>WAVE-G03</t>
        </is>
      </c>
      <c r="C17" s="37" t="inlineStr">
        <is>
          <t>填孔劑（橡木導管）</t>
        </is>
      </c>
      <c r="D17" s="35" t="inlineStr">
        <is>
          <t>膠合</t>
        </is>
      </c>
      <c r="E17" s="37" t="inlineStr">
        <is>
          <t>油性／水性木紋填孔，淺橡色</t>
        </is>
      </c>
      <c r="F17" s="37" t="inlineStr">
        <is>
          <t>約 40 g／椅</t>
        </is>
      </c>
      <c r="G17" s="38" t="n">
        <v>0.04</v>
      </c>
      <c r="H17" s="35" t="inlineStr">
        <is>
          <t>kg</t>
        </is>
      </c>
      <c r="I17" s="35" t="inlineStr">
        <is>
          <t>外購</t>
        </is>
      </c>
      <c r="J17" s="39" t="n">
        <v>750</v>
      </c>
      <c r="K17" s="39" t="n">
        <v>1250</v>
      </c>
      <c r="L17" s="39" t="n">
        <v>2000</v>
      </c>
      <c r="M17" s="40" t="n">
        <v>50</v>
      </c>
      <c r="N17" s="37" t="inlineStr">
        <is>
          <t>開放漆或硬質油前使用</t>
        </is>
      </c>
    </row>
    <row r="18" ht="32" customHeight="1">
      <c r="A18" s="41" t="n">
        <v>13</v>
      </c>
      <c r="B18" s="42" t="inlineStr">
        <is>
          <t>WAVE-F01</t>
        </is>
      </c>
      <c r="C18" s="43" t="inlineStr">
        <is>
          <t>硬質油／硬蠟油</t>
        </is>
      </c>
      <c r="D18" s="41" t="inlineStr">
        <is>
          <t>塗裝</t>
        </is>
      </c>
      <c r="E18" s="43" t="inlineStr">
        <is>
          <t>Osmo / Rubio 類，原色或白橡透明</t>
        </is>
      </c>
      <c r="F18" s="43" t="inlineStr">
        <is>
          <t>約 150–180 ml／椅（2–3 遍）</t>
        </is>
      </c>
      <c r="G18" s="44" t="n">
        <v>0.17</v>
      </c>
      <c r="H18" s="41" t="inlineStr">
        <is>
          <t>L</t>
        </is>
      </c>
      <c r="I18" s="41" t="inlineStr">
        <is>
          <t>外購</t>
        </is>
      </c>
      <c r="J18" s="45" t="n">
        <v>1058.823529411765</v>
      </c>
      <c r="K18" s="45" t="n">
        <v>1647.058823529412</v>
      </c>
      <c r="L18" s="45" t="n">
        <v>2470.588235294118</v>
      </c>
      <c r="M18" s="46" t="n">
        <v>280</v>
      </c>
      <c r="N18" s="43" t="inlineStr">
        <is>
          <t>薄緣避免厚 PU；端紋先封</t>
        </is>
      </c>
    </row>
    <row r="19" ht="32" customHeight="1">
      <c r="A19" s="41" t="n">
        <v>14</v>
      </c>
      <c r="B19" s="42" t="inlineStr">
        <is>
          <t>WAVE-F02</t>
        </is>
      </c>
      <c r="C19" s="43" t="inlineStr">
        <is>
          <t>砂紙耗材</t>
        </is>
      </c>
      <c r="D19" s="41" t="inlineStr">
        <is>
          <t>塗裝</t>
        </is>
      </c>
      <c r="E19" s="43" t="inlineStr">
        <is>
          <t>80 / 120 / 180 / 240 / 320，布基＋海綿砂</t>
        </is>
      </c>
      <c r="F19" s="43" t="inlineStr">
        <is>
          <t>約 8–12 張等效</t>
        </is>
      </c>
      <c r="G19" s="44" t="n">
        <v>1</v>
      </c>
      <c r="H19" s="41" t="inlineStr">
        <is>
          <t>套</t>
        </is>
      </c>
      <c r="I19" s="41" t="inlineStr">
        <is>
          <t>外購</t>
        </is>
      </c>
      <c r="J19" s="45" t="n">
        <v>70</v>
      </c>
      <c r="K19" s="45" t="n">
        <v>110</v>
      </c>
      <c r="L19" s="45" t="n">
        <v>180</v>
      </c>
      <c r="M19" s="46" t="n">
        <v>110</v>
      </c>
      <c r="N19" s="43" t="inlineStr">
        <is>
          <t>CNC 留砂光餘量 0.25–0.35 mm</t>
        </is>
      </c>
    </row>
    <row r="20" ht="32" customHeight="1">
      <c r="A20" s="41" t="n">
        <v>15</v>
      </c>
      <c r="B20" s="42" t="inlineStr">
        <is>
          <t>WAVE-F03</t>
        </is>
      </c>
      <c r="C20" s="43" t="inlineStr">
        <is>
          <t>拋光布／吸塵耗材</t>
        </is>
      </c>
      <c r="D20" s="41" t="inlineStr">
        <is>
          <t>塗裝</t>
        </is>
      </c>
      <c r="E20" s="43" t="inlineStr">
        <is>
          <t>無紡布、黏塵布</t>
        </is>
      </c>
      <c r="F20" s="43" t="inlineStr">
        <is>
          <t>—</t>
        </is>
      </c>
      <c r="G20" s="44" t="n">
        <v>1</v>
      </c>
      <c r="H20" s="41" t="inlineStr">
        <is>
          <t>套</t>
        </is>
      </c>
      <c r="I20" s="41" t="inlineStr">
        <is>
          <t>外購</t>
        </is>
      </c>
      <c r="J20" s="45" t="n">
        <v>20</v>
      </c>
      <c r="K20" s="45" t="n">
        <v>35</v>
      </c>
      <c r="L20" s="45" t="n">
        <v>60</v>
      </c>
      <c r="M20" s="46" t="n">
        <v>35</v>
      </c>
      <c r="N20" s="43" t="inlineStr">
        <is>
          <t>上油前必須無粉塵</t>
        </is>
      </c>
    </row>
    <row r="21" ht="32" customHeight="1">
      <c r="A21" s="47" t="n">
        <v>16</v>
      </c>
      <c r="B21" s="48" t="inlineStr">
        <is>
          <t>WAVE-U01</t>
        </is>
      </c>
      <c r="C21" s="49" t="inlineStr">
        <is>
          <t>成型坐墊泡棉</t>
        </is>
      </c>
      <c r="D21" s="47" t="inlineStr">
        <is>
          <t>軟包</t>
        </is>
      </c>
      <c r="E21" s="49" t="inlineStr">
        <is>
          <t>冷熟成型 HR，55–70 kg/m³，厚 60–90 mm</t>
        </is>
      </c>
      <c r="F21" s="49" t="inlineStr">
        <is>
          <t>依座盆陰模</t>
        </is>
      </c>
      <c r="G21" s="50" t="n">
        <v>1</v>
      </c>
      <c r="H21" s="47" t="inlineStr">
        <is>
          <t>件</t>
        </is>
      </c>
      <c r="I21" s="47" t="inlineStr">
        <is>
          <t>外購</t>
        </is>
      </c>
      <c r="J21" s="51" t="n">
        <v>600</v>
      </c>
      <c r="K21" s="51" t="n">
        <v>1100</v>
      </c>
      <c r="L21" s="51" t="n">
        <v>1800</v>
      </c>
      <c r="M21" s="52" t="n">
        <v>1100</v>
      </c>
      <c r="N21" s="49" t="inlineStr">
        <is>
          <t>打樣可 CNC 切割泡棉；小量建議開模</t>
        </is>
      </c>
    </row>
    <row r="22" ht="32" customHeight="1">
      <c r="A22" s="47" t="n">
        <v>17</v>
      </c>
      <c r="B22" s="48" t="inlineStr">
        <is>
          <t>WAVE-U02</t>
        </is>
      </c>
      <c r="C22" s="49" t="inlineStr">
        <is>
          <t>靠背成型泡棉</t>
        </is>
      </c>
      <c r="D22" s="47" t="inlineStr">
        <is>
          <t>軟包</t>
        </is>
      </c>
      <c r="E22" s="49" t="inlineStr">
        <is>
          <t>同 U01，可與坐墊一體或分件</t>
        </is>
      </c>
      <c r="F22" s="49" t="inlineStr">
        <is>
          <t>依靠背內曲面</t>
        </is>
      </c>
      <c r="G22" s="50" t="n">
        <v>1</v>
      </c>
      <c r="H22" s="47" t="inlineStr">
        <is>
          <t>件</t>
        </is>
      </c>
      <c r="I22" s="47" t="inlineStr">
        <is>
          <t>外購</t>
        </is>
      </c>
      <c r="J22" s="51" t="n">
        <v>500</v>
      </c>
      <c r="K22" s="51" t="n">
        <v>900</v>
      </c>
      <c r="L22" s="51" t="n">
        <v>1500</v>
      </c>
      <c r="M22" s="52" t="n">
        <v>900</v>
      </c>
      <c r="N22" s="49" t="inlineStr">
        <is>
          <t>腰椎曲線做在泡棉，不做在木殼</t>
        </is>
      </c>
    </row>
    <row r="23" ht="32" customHeight="1">
      <c r="A23" s="47" t="n">
        <v>18</v>
      </c>
      <c r="B23" s="48" t="inlineStr">
        <is>
          <t>WAVE-U03</t>
        </is>
      </c>
      <c r="C23" s="49" t="inlineStr">
        <is>
          <t>表布／皮革</t>
        </is>
      </c>
      <c r="D23" s="47" t="inlineStr">
        <is>
          <t>軟包</t>
        </is>
      </c>
      <c r="E23" s="49" t="inlineStr">
        <is>
          <t>頭層牛皮約 1.0 m²，或超纖 1.3 m</t>
        </is>
      </c>
      <c r="F23" s="49" t="inlineStr">
        <is>
          <t>含損耗</t>
        </is>
      </c>
      <c r="G23" s="50" t="n">
        <v>1</v>
      </c>
      <c r="H23" s="47" t="inlineStr">
        <is>
          <t>套</t>
        </is>
      </c>
      <c r="I23" s="47" t="inlineStr">
        <is>
          <t>外購</t>
        </is>
      </c>
      <c r="J23" s="51" t="n">
        <v>800</v>
      </c>
      <c r="K23" s="51" t="n">
        <v>2800</v>
      </c>
      <c r="L23" s="51" t="n">
        <v>5200</v>
      </c>
      <c r="M23" s="52" t="n">
        <v>2800</v>
      </c>
      <c r="N23" s="49" t="inlineStr">
        <is>
          <t>低配超纖；中高配頭層；色號與木殼對樣</t>
        </is>
      </c>
    </row>
    <row r="24" ht="32" customHeight="1">
      <c r="A24" s="47" t="n">
        <v>19</v>
      </c>
      <c r="B24" s="48" t="inlineStr">
        <is>
          <t>WAVE-U04</t>
        </is>
      </c>
      <c r="C24" s="49" t="inlineStr">
        <is>
          <t>底布＋襯材</t>
        </is>
      </c>
      <c r="D24" s="47" t="inlineStr">
        <is>
          <t>軟包</t>
        </is>
      </c>
      <c r="E24" s="49" t="inlineStr">
        <is>
          <t>無紡布、定型棉 120–200 g、暗拉鍊 #5</t>
        </is>
      </c>
      <c r="F24" s="49" t="inlineStr">
        <is>
          <t>—</t>
        </is>
      </c>
      <c r="G24" s="50" t="n">
        <v>1</v>
      </c>
      <c r="H24" s="47" t="inlineStr">
        <is>
          <t>套</t>
        </is>
      </c>
      <c r="I24" s="47" t="inlineStr">
        <is>
          <t>外購</t>
        </is>
      </c>
      <c r="J24" s="51" t="n">
        <v>80</v>
      </c>
      <c r="K24" s="51" t="n">
        <v>150</v>
      </c>
      <c r="L24" s="51" t="n">
        <v>260</v>
      </c>
      <c r="M24" s="52" t="n">
        <v>150</v>
      </c>
      <c r="N24" s="49" t="inlineStr">
        <is>
          <t>外輪廓退木唇 8–12 mm</t>
        </is>
      </c>
    </row>
    <row r="25" ht="32" customHeight="1">
      <c r="A25" s="53" t="n">
        <v>20</v>
      </c>
      <c r="B25" s="54" t="inlineStr">
        <is>
          <t>WAVE-P01</t>
        </is>
      </c>
      <c r="C25" s="55" t="inlineStr">
        <is>
          <t>外箱</t>
        </is>
      </c>
      <c r="D25" s="53" t="inlineStr">
        <is>
          <t>包裝</t>
        </is>
      </c>
      <c r="E25" s="55" t="inlineStr">
        <is>
          <t>BC 楞，內徑約 1020 × 1080 × 900（整椅出貨）</t>
        </is>
      </c>
      <c r="F25" s="55" t="inlineStr">
        <is>
          <t>—</t>
        </is>
      </c>
      <c r="G25" s="56" t="n">
        <v>1</v>
      </c>
      <c r="H25" s="53" t="inlineStr">
        <is>
          <t>只</t>
        </is>
      </c>
      <c r="I25" s="53" t="inlineStr">
        <is>
          <t>外購</t>
        </is>
      </c>
      <c r="J25" s="57" t="n">
        <v>160</v>
      </c>
      <c r="K25" s="57" t="n">
        <v>230</v>
      </c>
      <c r="L25" s="57" t="n">
        <v>320</v>
      </c>
      <c r="M25" s="58" t="n">
        <v>230</v>
      </c>
      <c r="N25" s="55" t="inlineStr">
        <is>
          <t>若 A/B 拆裝出貨可改 2 箱縮小</t>
        </is>
      </c>
    </row>
    <row r="26" ht="32" customHeight="1">
      <c r="A26" s="53" t="n">
        <v>21</v>
      </c>
      <c r="B26" s="54" t="inlineStr">
        <is>
          <t>WAVE-P02</t>
        </is>
      </c>
      <c r="C26" s="55" t="inlineStr">
        <is>
          <t>EPE／護角</t>
        </is>
      </c>
      <c r="D26" s="53" t="inlineStr">
        <is>
          <t>包裝</t>
        </is>
      </c>
      <c r="E26" s="55" t="inlineStr">
        <is>
          <t>EPE 20–30 mm ＋ 紙護角</t>
        </is>
      </c>
      <c r="F26" s="55" t="inlineStr">
        <is>
          <t>—</t>
        </is>
      </c>
      <c r="G26" s="56" t="n">
        <v>1</v>
      </c>
      <c r="H26" s="53" t="inlineStr">
        <is>
          <t>套</t>
        </is>
      </c>
      <c r="I26" s="53" t="inlineStr">
        <is>
          <t>外購</t>
        </is>
      </c>
      <c r="J26" s="57" t="n">
        <v>70</v>
      </c>
      <c r="K26" s="57" t="n">
        <v>110</v>
      </c>
      <c r="L26" s="57" t="n">
        <v>180</v>
      </c>
      <c r="M26" s="58" t="n">
        <v>110</v>
      </c>
      <c r="N26" s="55" t="inlineStr">
        <is>
          <t>薄緣與前舌必須獨立保護</t>
        </is>
      </c>
    </row>
    <row r="27" ht="32" customHeight="1">
      <c r="A27" s="53" t="n">
        <v>22</v>
      </c>
      <c r="B27" s="54" t="inlineStr">
        <is>
          <t>WAVE-P03</t>
        </is>
      </c>
      <c r="C27" s="55" t="inlineStr">
        <is>
          <t>PE袋、乾燥劑、銘牌、說明書</t>
        </is>
      </c>
      <c r="D27" s="53" t="inlineStr">
        <is>
          <t>包裝</t>
        </is>
      </c>
      <c r="E27" s="55" t="inlineStr">
        <is>
          <t>防塵袋＋10 g 乾燥劑×2＋金屬／木銘牌</t>
        </is>
      </c>
      <c r="F27" s="55" t="inlineStr">
        <is>
          <t>—</t>
        </is>
      </c>
      <c r="G27" s="56" t="n">
        <v>1</v>
      </c>
      <c r="H27" s="53" t="inlineStr">
        <is>
          <t>套</t>
        </is>
      </c>
      <c r="I27" s="53" t="inlineStr">
        <is>
          <t>外購</t>
        </is>
      </c>
      <c r="J27" s="57" t="n">
        <v>40</v>
      </c>
      <c r="K27" s="57" t="n">
        <v>70</v>
      </c>
      <c r="L27" s="57" t="n">
        <v>140</v>
      </c>
      <c r="M27" s="58" t="n">
        <v>70</v>
      </c>
      <c r="N27" s="55" t="inlineStr">
        <is>
          <t>銘牌藏於盆底或後踵內側</t>
        </is>
      </c>
    </row>
    <row r="28" ht="32" customHeight="1">
      <c r="A28" s="59" t="n">
        <v>23</v>
      </c>
      <c r="B28" s="60" t="inlineStr">
        <is>
          <t>WAVE-T01</t>
        </is>
      </c>
      <c r="C28" s="61" t="inlineStr">
        <is>
          <t>內盆陰模治具（MDF／PU）</t>
        </is>
      </c>
      <c r="D28" s="59" t="inlineStr">
        <is>
          <t>工裝攤提</t>
        </is>
      </c>
      <c r="E28" s="61" t="inlineStr">
        <is>
          <t>OP3 翻面吸附／定位</t>
        </is>
      </c>
      <c r="F28" s="61" t="inlineStr">
        <is>
          <t>1 套</t>
        </is>
      </c>
      <c r="G28" s="62" t="n">
        <v>0.1</v>
      </c>
      <c r="H28" s="59" t="inlineStr">
        <is>
          <t>套</t>
        </is>
      </c>
      <c r="I28" s="59" t="inlineStr">
        <is>
          <t>自製</t>
        </is>
      </c>
      <c r="J28" s="63" t="n">
        <v>8000</v>
      </c>
      <c r="K28" s="63" t="n">
        <v>14000</v>
      </c>
      <c r="L28" s="63" t="n">
        <v>22000</v>
      </c>
      <c r="M28" s="64" t="n">
        <v>1400</v>
      </c>
      <c r="N28" s="61" t="inlineStr">
        <is>
          <t>治具總價約 8–20k，按 10 件攤；打樣則全計入首件</t>
        </is>
      </c>
    </row>
    <row r="29" ht="32" customHeight="1">
      <c r="A29" s="59" t="n">
        <v>24</v>
      </c>
      <c r="B29" s="60" t="inlineStr">
        <is>
          <t>WAVE-T02</t>
        </is>
      </c>
      <c r="C29" s="61" t="inlineStr">
        <is>
          <t>組裝對位鋼治具</t>
        </is>
      </c>
      <c r="D29" s="59" t="inlineStr">
        <is>
          <t>工裝攤提</t>
        </is>
      </c>
      <c r="E29" s="61" t="inlineStr">
        <is>
          <t>A/B/C 止口＋銷孔基準</t>
        </is>
      </c>
      <c r="F29" s="61" t="inlineStr">
        <is>
          <t>1 套</t>
        </is>
      </c>
      <c r="G29" s="62" t="n">
        <v>0.1</v>
      </c>
      <c r="H29" s="59" t="inlineStr">
        <is>
          <t>套</t>
        </is>
      </c>
      <c r="I29" s="59" t="inlineStr">
        <is>
          <t>自製</t>
        </is>
      </c>
      <c r="J29" s="63" t="n">
        <v>4000</v>
      </c>
      <c r="K29" s="63" t="n">
        <v>7000</v>
      </c>
      <c r="L29" s="63" t="n">
        <v>12000</v>
      </c>
      <c r="M29" s="64" t="n">
        <v>700</v>
      </c>
      <c r="N29" s="61" t="inlineStr">
        <is>
          <t>治具總價約 4–12k，按 10 件攤</t>
        </is>
      </c>
    </row>
    <row r="30" ht="22" customHeight="1">
      <c r="A30" s="65" t="inlineStr">
        <is>
          <t>單椅材料＋工裝攤提小計（中位估，不含人工／管銷／利潤）</t>
        </is>
      </c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7">
        <f>SUM(M6:M29)</f>
        <v/>
      </c>
      <c r="N30" s="68" t="n"/>
    </row>
    <row r="31" ht="18" customHeight="1">
      <c r="A31" s="69" t="inlineStr">
        <is>
          <t>區間估（低–高）：NT$ 15,590  –  NT$ 34,640    ※ 胡桃主材約再加 15–30%</t>
        </is>
      </c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</row>
    <row r="33" ht="18" customHeight="1">
      <c r="A33" s="71" t="inlineStr">
        <is>
          <t>欄位說明：單價低／中／高為「該列數量」拆成單件單價；金額（中）＝該列中位總價。工裝攤提已按 10 件計入單椅。人工（CNC／砂光／組裝／塗裝）不在本表，見「03_成本彙總」。橡木單價依 KD FAS 約 NT$45,000–75,000／m³ 回推。軟包皮革價差最大，確認皮料後需重算 U03。</t>
        </is>
      </c>
    </row>
    <row r="34"/>
    <row r="35"/>
  </sheetData>
  <autoFilter ref="A5:N29"/>
  <mergeCells count="19">
    <mergeCell ref="C4:D4"/>
    <mergeCell ref="A1:N1"/>
    <mergeCell ref="E4:F4"/>
    <mergeCell ref="A3:B3"/>
    <mergeCell ref="G3:H3"/>
    <mergeCell ref="I3:J3"/>
    <mergeCell ref="A2:N2"/>
    <mergeCell ref="A31:L31"/>
    <mergeCell ref="M3:N3"/>
    <mergeCell ref="A4:B4"/>
    <mergeCell ref="G4:H4"/>
    <mergeCell ref="A30:L30"/>
    <mergeCell ref="I4:J4"/>
    <mergeCell ref="A33:N35"/>
    <mergeCell ref="K4:L4"/>
    <mergeCell ref="C3:D3"/>
    <mergeCell ref="M4:N4"/>
    <mergeCell ref="E3:F3"/>
    <mergeCell ref="K3:L3"/>
  </mergeCells>
  <pageMargins left="0.5" right="0.5" top="0.7" bottom="0.6" header="0.3" footer="0.3"/>
  <pageSetup orientation="landscape" paperSize="8" fitToHeight="1" fitToWidth="1"/>
  <headerFooter>
    <oddHeader>&amp;L&amp;B WAVE Lounge Chair&amp;RBOM 總表</oddHeader>
    <oddFooter>&amp;LWAVE-LC-001  BOM  Rev.A&amp;C概念工程 BOM，不可直接當採購單（未凍結 3D）&amp;R第 &amp;P /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5A2B"/>
    <outlinePr summaryBelow="1" summaryRight="1"/>
    <pageSetUpPr fitToPage="1"/>
  </sheetPr>
  <dimension ref="A1:K22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2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6" customWidth="1" min="10" max="10"/>
    <col width="36" customWidth="1" min="11" max="11"/>
  </cols>
  <sheetData>
    <row r="1" ht="24" customHeight="1">
      <c r="A1" s="1" t="inlineStr">
        <is>
          <t>WAVE  LOUNGE  CHAIR    工程用料清單  EBOM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層積實木毛坯　　含水率 8–10%　　單層 22–28 mm　　順紋沿緞帶　　白橡優先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8" customHeight="1">
      <c r="A3" s="15" t="inlineStr">
        <is>
          <t>樹種基準</t>
        </is>
      </c>
      <c r="B3" s="15" t="inlineStr">
        <is>
          <t>替代 1</t>
        </is>
      </c>
      <c r="C3" s="15" t="inlineStr">
        <is>
          <t>替代 2</t>
        </is>
      </c>
      <c r="D3" s="15" t="inlineStr">
        <is>
          <t>精品升級</t>
        </is>
      </c>
      <c r="E3" s="15" t="inlineStr">
        <is>
          <t>購料係數</t>
        </is>
      </c>
      <c r="F3" s="15" t="inlineStr">
        <is>
          <t>窯乾</t>
        </is>
      </c>
      <c r="G3" s="15" t="n"/>
      <c r="H3" s="15" t="n"/>
      <c r="I3" s="15" t="n"/>
      <c r="J3" s="15" t="n"/>
      <c r="K3" s="15" t="n"/>
    </row>
    <row r="4" ht="18" customHeight="1">
      <c r="A4" s="16" t="inlineStr">
        <is>
          <t>歐洲／美國白橡</t>
        </is>
      </c>
      <c r="B4" s="16" t="inlineStr">
        <is>
          <t>美國白蠟（較省）</t>
        </is>
      </c>
      <c r="C4" s="16" t="inlineStr">
        <is>
          <t>歐洲山毛櫸</t>
        </is>
      </c>
      <c r="D4" s="16" t="inlineStr">
        <is>
          <t>黑胡桃 ＋15–30%</t>
        </is>
      </c>
      <c r="E4" s="16" t="inlineStr">
        <is>
          <t>1.15–1.20（小量）</t>
        </is>
      </c>
      <c r="F4" s="16" t="inlineStr">
        <is>
          <t>KD，入廠養料 ≥7 天</t>
        </is>
      </c>
      <c r="G4" s="16" t="n"/>
      <c r="H4" s="16" t="n"/>
      <c r="I4" s="16" t="n"/>
      <c r="J4" s="16" t="n"/>
      <c r="K4" s="16" t="n"/>
    </row>
    <row r="5">
      <c r="A5" s="11" t="inlineStr">
        <is>
          <t>項次</t>
        </is>
      </c>
      <c r="B5" s="11" t="inlineStr">
        <is>
          <t>料號</t>
        </is>
      </c>
      <c r="C5" s="11" t="inlineStr">
        <is>
          <t>名稱</t>
        </is>
      </c>
      <c r="D5" s="11" t="inlineStr">
        <is>
          <t>毛坯 L</t>
        </is>
      </c>
      <c r="E5" s="11" t="inlineStr">
        <is>
          <t>毛坯 W</t>
        </is>
      </c>
      <c r="F5" s="11" t="inlineStr">
        <is>
          <t>毛坯 T</t>
        </is>
      </c>
      <c r="G5" s="11" t="inlineStr">
        <is>
          <t>件數</t>
        </is>
      </c>
      <c r="H5" s="11" t="inlineStr">
        <is>
          <t>單件材積 m³</t>
        </is>
      </c>
      <c r="I5" s="11" t="inlineStr">
        <is>
          <t>小計 m³</t>
        </is>
      </c>
      <c r="J5" s="11" t="inlineStr">
        <is>
          <t>購料 m³（×1.18）</t>
        </is>
      </c>
      <c r="K5" s="11" t="inlineStr">
        <is>
          <t>備註</t>
        </is>
      </c>
    </row>
    <row r="6" ht="22" customHeight="1">
      <c r="A6" s="13" t="n">
        <v>1</v>
      </c>
      <c r="B6" s="72" t="inlineStr">
        <is>
          <t>WAVE-A01</t>
        </is>
      </c>
      <c r="C6" s="8" t="inlineStr">
        <is>
          <t>左殼毛坯</t>
        </is>
      </c>
      <c r="D6" s="13" t="n">
        <v>900</v>
      </c>
      <c r="E6" s="13" t="n">
        <v>500</v>
      </c>
      <c r="F6" s="13" t="n">
        <v>220</v>
      </c>
      <c r="G6" s="13" t="n">
        <v>1</v>
      </c>
      <c r="H6" s="73" t="n">
        <v>0.099</v>
      </c>
      <c r="I6" s="73">
        <f>G6*H6</f>
        <v/>
      </c>
      <c r="J6" s="73">
        <f>I6*1.18</f>
        <v/>
      </c>
      <c r="K6" s="8" t="inlineStr">
        <is>
          <t>順紋沿緞帶；成對選料</t>
        </is>
      </c>
    </row>
    <row r="7" ht="22" customHeight="1">
      <c r="A7" s="12" t="n">
        <v>2</v>
      </c>
      <c r="B7" s="74" t="inlineStr">
        <is>
          <t>WAVE-B01</t>
        </is>
      </c>
      <c r="C7" s="10" t="inlineStr">
        <is>
          <t>右殼毛坯</t>
        </is>
      </c>
      <c r="D7" s="12" t="n">
        <v>900</v>
      </c>
      <c r="E7" s="12" t="n">
        <v>500</v>
      </c>
      <c r="F7" s="12" t="n">
        <v>220</v>
      </c>
      <c r="G7" s="12" t="n">
        <v>1</v>
      </c>
      <c r="H7" s="75" t="n">
        <v>0.099</v>
      </c>
      <c r="I7" s="75">
        <f>G7*H7</f>
        <v/>
      </c>
      <c r="J7" s="75">
        <f>I7*1.18</f>
        <v/>
      </c>
      <c r="K7" s="10" t="inlineStr">
        <is>
          <t>與 A01 同批、同色號</t>
        </is>
      </c>
    </row>
    <row r="8" ht="22" customHeight="1">
      <c r="A8" s="13" t="n">
        <v>3</v>
      </c>
      <c r="B8" s="72" t="inlineStr">
        <is>
          <t>WAVE-C01</t>
        </is>
      </c>
      <c r="C8" s="8" t="inlineStr">
        <is>
          <t>座盆毛坯</t>
        </is>
      </c>
      <c r="D8" s="13" t="n">
        <v>620</v>
      </c>
      <c r="E8" s="13" t="n">
        <v>560</v>
      </c>
      <c r="F8" s="13" t="n">
        <v>80</v>
      </c>
      <c r="G8" s="13" t="n">
        <v>1</v>
      </c>
      <c r="H8" s="73" t="n">
        <v>0.027776</v>
      </c>
      <c r="I8" s="73">
        <f>G8*H8</f>
        <v/>
      </c>
      <c r="J8" s="73">
        <f>I8*1.18</f>
        <v/>
      </c>
      <c r="K8" s="8" t="inlineStr">
        <is>
          <t>盆底等效厚 ≥32</t>
        </is>
      </c>
    </row>
    <row r="9" ht="22" customHeight="1">
      <c r="A9" s="12" t="n">
        <v>4</v>
      </c>
      <c r="B9" s="74" t="inlineStr">
        <is>
          <t>WAVE-W09</t>
        </is>
      </c>
      <c r="C9" s="10" t="inlineStr">
        <is>
          <t>備料／補片</t>
        </is>
      </c>
      <c r="D9" s="12" t="n">
        <v>800</v>
      </c>
      <c r="E9" s="12" t="n">
        <v>200</v>
      </c>
      <c r="F9" s="12" t="n">
        <v>28</v>
      </c>
      <c r="G9" s="12" t="n">
        <v>4</v>
      </c>
      <c r="H9" s="75" t="n">
        <v>0.00448</v>
      </c>
      <c r="I9" s="75">
        <f>G9*H9</f>
        <v/>
      </c>
      <c r="J9" s="75">
        <f>I9*1.18</f>
        <v/>
      </c>
      <c r="K9" s="10" t="inlineStr">
        <is>
          <t>薄緣補片、色差替換</t>
        </is>
      </c>
    </row>
    <row r="10">
      <c r="A10" s="65" t="inlineStr">
        <is>
          <t>木材小計</t>
        </is>
      </c>
      <c r="B10" s="65" t="n"/>
      <c r="C10" s="65" t="n"/>
      <c r="D10" s="65" t="n"/>
      <c r="E10" s="65" t="n"/>
      <c r="F10" s="65" t="n"/>
      <c r="G10" s="65" t="n"/>
      <c r="H10" s="65" t="n"/>
      <c r="I10" s="76">
        <f>SUM(I6:I9)</f>
        <v/>
      </c>
      <c r="J10" s="76">
        <f>SUM(J6:J9)</f>
        <v/>
      </c>
      <c r="K10" s="77" t="n"/>
    </row>
    <row r="12">
      <c r="A12" s="78" t="inlineStr">
        <is>
          <t>樹種材料費回推（依購料材積 J10 × 市場單價）</t>
        </is>
      </c>
    </row>
    <row r="13">
      <c r="A13" s="79" t="inlineStr">
        <is>
          <t>樹種</t>
        </is>
      </c>
      <c r="B13" s="79" t="inlineStr">
        <is>
          <t>單價低 NT$/m³</t>
        </is>
      </c>
      <c r="C13" s="79" t="inlineStr">
        <is>
          <t>單價中</t>
        </is>
      </c>
      <c r="D13" s="79" t="inlineStr">
        <is>
          <t>單價高</t>
        </is>
      </c>
      <c r="E13" s="79" t="inlineStr">
        <is>
          <t>材料費低</t>
        </is>
      </c>
      <c r="F13" s="79" t="inlineStr">
        <is>
          <t>材料費中</t>
        </is>
      </c>
      <c r="G13" s="79" t="inlineStr">
        <is>
          <t>材料費高</t>
        </is>
      </c>
      <c r="H13" s="79" t="inlineStr">
        <is>
          <t>建議用途</t>
        </is>
      </c>
    </row>
    <row r="14" ht="20" customHeight="1">
      <c r="A14" s="8" t="inlineStr">
        <is>
          <t>美國白蠟 Ash</t>
        </is>
      </c>
      <c r="B14" s="80" t="n">
        <v>32000</v>
      </c>
      <c r="C14" s="80" t="n">
        <v>42000</v>
      </c>
      <c r="D14" s="80" t="n">
        <v>52000</v>
      </c>
      <c r="E14" s="80">
        <f>$J$10*B14</f>
        <v/>
      </c>
      <c r="F14" s="80">
        <f>$J$10*C14</f>
        <v/>
      </c>
      <c r="G14" s="80">
        <f>$J$10*D14</f>
        <v/>
      </c>
      <c r="H14" s="8" t="inlineStr">
        <is>
          <t>量產／淺色、彈性好</t>
        </is>
      </c>
    </row>
    <row r="15" ht="20" customHeight="1">
      <c r="A15" s="10" t="inlineStr">
        <is>
          <t>歐洲山毛櫸</t>
        </is>
      </c>
      <c r="B15" s="81" t="n">
        <v>28000</v>
      </c>
      <c r="C15" s="81" t="n">
        <v>36000</v>
      </c>
      <c r="D15" s="81" t="n">
        <v>45000</v>
      </c>
      <c r="E15" s="81">
        <f>$J$10*B15</f>
        <v/>
      </c>
      <c r="F15" s="81">
        <f>$J$10*C15</f>
        <v/>
      </c>
      <c r="G15" s="81">
        <f>$J$10*D15</f>
        <v/>
      </c>
      <c r="H15" s="10" t="inlineStr">
        <is>
          <t>均質好雕、移動較大</t>
        </is>
      </c>
    </row>
    <row r="16" ht="20" customHeight="1">
      <c r="A16" s="82" t="inlineStr">
        <is>
          <t>白橡 White Oak（基準）</t>
        </is>
      </c>
      <c r="B16" s="83" t="n">
        <v>45000</v>
      </c>
      <c r="C16" s="83" t="n">
        <v>58000</v>
      </c>
      <c r="D16" s="83" t="n">
        <v>75000</v>
      </c>
      <c r="E16" s="83">
        <f>$J$10*B16</f>
        <v/>
      </c>
      <c r="F16" s="83">
        <f>$J$10*C16</f>
        <v/>
      </c>
      <c r="G16" s="83">
        <f>$J$10*D16</f>
        <v/>
      </c>
      <c r="H16" s="82" t="inlineStr">
        <is>
          <t>本專案主選，接近參考圖</t>
        </is>
      </c>
    </row>
    <row r="17" ht="20" customHeight="1">
      <c r="A17" s="10" t="inlineStr">
        <is>
          <t>歐洲橡 Quartersawn</t>
        </is>
      </c>
      <c r="B17" s="81" t="n">
        <v>55000</v>
      </c>
      <c r="C17" s="81" t="n">
        <v>70000</v>
      </c>
      <c r="D17" s="81" t="n">
        <v>90000</v>
      </c>
      <c r="E17" s="81">
        <f>$J$10*B17</f>
        <v/>
      </c>
      <c r="F17" s="81">
        <f>$J$10*C17</f>
        <v/>
      </c>
      <c r="G17" s="81">
        <f>$J$10*D17</f>
        <v/>
      </c>
      <c r="H17" s="10" t="inlineStr">
        <is>
          <t>腹板更穩、價較高</t>
        </is>
      </c>
    </row>
    <row r="18" ht="20" customHeight="1">
      <c r="A18" s="8" t="inlineStr">
        <is>
          <t>黑胡桃 Walnut</t>
        </is>
      </c>
      <c r="B18" s="80" t="n">
        <v>85000</v>
      </c>
      <c r="C18" s="80" t="n">
        <v>105000</v>
      </c>
      <c r="D18" s="80" t="n">
        <v>130000</v>
      </c>
      <c r="E18" s="80">
        <f>$J$10*B18</f>
        <v/>
      </c>
      <c r="F18" s="80">
        <f>$J$10*C18</f>
        <v/>
      </c>
      <c r="G18" s="80">
        <f>$J$10*D18</f>
        <v/>
      </c>
      <c r="H18" s="8" t="inlineStr">
        <is>
          <t>精品溢價，陰影較重</t>
        </is>
      </c>
    </row>
    <row r="20" ht="20" customHeight="1">
      <c r="A20" s="84" t="inlineStr">
        <is>
          <t>下料規則：
1. 單片拼板寬 ≤120 mm；層積單層 22–28 mm；層間交錯年輪。
2. 禁止獨幅厚材直接上 5 軸。毛坯六面基準後做 2× Ø8 H7 工藝孔。
3. 利用率目標 25–40%（分件層積）。整塊掏空不採用。
4. 雕刻後恆濕 48–72 h 再精修。端紋與接地面先封孔。</t>
        </is>
      </c>
    </row>
    <row r="21" ht="20" customHeight="1"/>
    <row r="22" ht="20" customHeight="1"/>
  </sheetData>
  <mergeCells count="7">
    <mergeCell ref="A12:K12"/>
    <mergeCell ref="A20:K22"/>
    <mergeCell ref="A10:H10"/>
    <mergeCell ref="A2:K2"/>
    <mergeCell ref="F4:K4"/>
    <mergeCell ref="A1:K1"/>
    <mergeCell ref="F3:K3"/>
  </mergeCells>
  <pageMargins left="0.5" right="0.5" top="0.7" bottom="0.6" header="0.3" footer="0.3"/>
  <pageSetup orientation="landscape" paperSize="8" fitToHeight="1" fitToWidth="1"/>
  <headerFooter>
    <oddHeader>&amp;L&amp;B WAVE Lounge Chair&amp;R木材下料</oddHeader>
    <oddFooter>&amp;LWAVE-LC-001  BOM  Rev.A&amp;C概念工程 BOM，不可直接當採購單（未凍結 3D）&amp;R第 &amp;P /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6B4F"/>
    <outlinePr summaryBelow="1" summaryRight="1"/>
    <pageSetUpPr fitToPage="1"/>
  </sheetPr>
  <dimension ref="A1:H40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42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WAVE  LOUNGE  CHAIR    工程用料清單  EBOM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小量 10 件／件　　打樣 1 件另列　　不含品牌溢價、設計費、運費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15" t="inlineStr">
        <is>
          <t>幣別</t>
        </is>
      </c>
      <c r="B3" s="15" t="n"/>
      <c r="C3" s="15" t="inlineStr">
        <is>
          <t>木材基準</t>
        </is>
      </c>
      <c r="D3" s="15" t="n"/>
      <c r="E3" s="15" t="inlineStr">
        <is>
          <t>軟包基準</t>
        </is>
      </c>
      <c r="F3" s="15" t="n"/>
      <c r="G3" s="15" t="inlineStr">
        <is>
          <t>工裝</t>
        </is>
      </c>
      <c r="H3" s="15" t="n"/>
    </row>
    <row r="4" ht="18" customHeight="1">
      <c r="A4" s="16" t="inlineStr">
        <is>
          <t>新台幣 NT$</t>
        </is>
      </c>
      <c r="B4" s="16" t="n"/>
      <c r="C4" s="16" t="inlineStr">
        <is>
          <t>白橡中位</t>
        </is>
      </c>
      <c r="D4" s="16" t="n"/>
      <c r="E4" s="16" t="inlineStr">
        <is>
          <t>中配（超纖偏頭層中位）</t>
        </is>
      </c>
      <c r="F4" s="16" t="n"/>
      <c r="G4" s="16" t="inlineStr">
        <is>
          <t>10 件攤</t>
        </is>
      </c>
      <c r="H4" s="16" t="n"/>
    </row>
    <row r="5">
      <c r="A5" s="78" t="inlineStr">
        <is>
          <t>一、單椅直接材料（含工裝攤提）</t>
        </is>
      </c>
    </row>
    <row r="6">
      <c r="A6" s="6" t="inlineStr">
        <is>
          <t>類別</t>
        </is>
      </c>
      <c r="B6" s="6" t="inlineStr">
        <is>
          <t>低</t>
        </is>
      </c>
      <c r="C6" s="6" t="inlineStr">
        <is>
          <t>中</t>
        </is>
      </c>
      <c r="D6" s="6" t="inlineStr">
        <is>
          <t>高</t>
        </is>
      </c>
      <c r="E6" s="6" t="inlineStr">
        <is>
          <t>佔中位 %</t>
        </is>
      </c>
    </row>
    <row r="7" ht="20" customHeight="1">
      <c r="A7" s="85" t="inlineStr">
        <is>
          <t>結構木材</t>
        </is>
      </c>
      <c r="B7" s="86" t="n">
        <v>11400</v>
      </c>
      <c r="C7" s="86" t="n">
        <v>14900</v>
      </c>
      <c r="D7" s="86" t="n">
        <v>19900</v>
      </c>
      <c r="E7" s="87" t="n">
        <v>0.6322936558455337</v>
      </c>
    </row>
    <row r="8" ht="20" customHeight="1">
      <c r="A8" s="88" t="inlineStr">
        <is>
          <t>接合件</t>
        </is>
      </c>
      <c r="B8" s="89" t="n">
        <v>100</v>
      </c>
      <c r="C8" s="89" t="n">
        <v>190</v>
      </c>
      <c r="D8" s="89" t="n">
        <v>340</v>
      </c>
      <c r="E8" s="90" t="n">
        <v>0.008062805007426267</v>
      </c>
    </row>
    <row r="9" ht="20" customHeight="1">
      <c r="A9" s="91" t="inlineStr">
        <is>
          <t>五金</t>
        </is>
      </c>
      <c r="B9" s="92" t="n">
        <v>120</v>
      </c>
      <c r="C9" s="92" t="n">
        <v>200</v>
      </c>
      <c r="D9" s="92" t="n">
        <v>360</v>
      </c>
      <c r="E9" s="93" t="n">
        <v>0.008487163165711862</v>
      </c>
    </row>
    <row r="10" ht="20" customHeight="1">
      <c r="A10" s="94" t="inlineStr">
        <is>
          <t>膠合</t>
        </is>
      </c>
      <c r="B10" s="95" t="n">
        <v>250</v>
      </c>
      <c r="C10" s="95" t="n">
        <v>390</v>
      </c>
      <c r="D10" s="95" t="n">
        <v>580</v>
      </c>
      <c r="E10" s="96" t="n">
        <v>0.01654996817313813</v>
      </c>
    </row>
    <row r="11" ht="20" customHeight="1">
      <c r="A11" s="97" t="inlineStr">
        <is>
          <t>塗裝</t>
        </is>
      </c>
      <c r="B11" s="98" t="n">
        <v>270</v>
      </c>
      <c r="C11" s="98" t="n">
        <v>425</v>
      </c>
      <c r="D11" s="98" t="n">
        <v>660</v>
      </c>
      <c r="E11" s="99" t="n">
        <v>0.0180352217271377</v>
      </c>
    </row>
    <row r="12" ht="20" customHeight="1">
      <c r="A12" s="100" t="inlineStr">
        <is>
          <t>軟包</t>
        </is>
      </c>
      <c r="B12" s="101" t="n">
        <v>1980</v>
      </c>
      <c r="C12" s="101" t="n">
        <v>4950</v>
      </c>
      <c r="D12" s="101" t="n">
        <v>8760</v>
      </c>
      <c r="E12" s="102" t="n">
        <v>0.2100572883513686</v>
      </c>
    </row>
    <row r="13" ht="20" customHeight="1">
      <c r="A13" s="103" t="inlineStr">
        <is>
          <t>包裝</t>
        </is>
      </c>
      <c r="B13" s="104" t="n">
        <v>270</v>
      </c>
      <c r="C13" s="104" t="n">
        <v>410</v>
      </c>
      <c r="D13" s="104" t="n">
        <v>640</v>
      </c>
      <c r="E13" s="105" t="n">
        <v>0.01739868448970932</v>
      </c>
    </row>
    <row r="14" ht="20" customHeight="1">
      <c r="A14" s="106" t="inlineStr">
        <is>
          <t>工裝攤提</t>
        </is>
      </c>
      <c r="B14" s="107" t="n">
        <v>1200</v>
      </c>
      <c r="C14" s="107" t="n">
        <v>2100</v>
      </c>
      <c r="D14" s="107" t="n">
        <v>3400</v>
      </c>
      <c r="E14" s="108" t="n">
        <v>0.08911521323997454</v>
      </c>
    </row>
    <row r="15">
      <c r="A15" s="109" t="inlineStr">
        <is>
          <t>材料小計</t>
        </is>
      </c>
      <c r="B15" s="110">
        <f>SUM(B7:B14)</f>
        <v/>
      </c>
      <c r="C15" s="110">
        <f>SUM(C7:C14)</f>
        <v/>
      </c>
      <c r="D15" s="110">
        <f>SUM(D7:D14)</f>
        <v/>
      </c>
      <c r="E15" s="111" t="n">
        <v>1</v>
      </c>
    </row>
    <row r="17">
      <c r="A17" s="78" t="inlineStr">
        <is>
          <t>二、單椅直接人工（台製熟手粗估，不含管銷）</t>
        </is>
      </c>
    </row>
    <row r="18">
      <c r="A18" s="79" t="inlineStr">
        <is>
          <t>工段</t>
        </is>
      </c>
      <c r="B18" s="79" t="inlineStr">
        <is>
          <t>打樣工時 h</t>
        </is>
      </c>
      <c r="C18" s="79" t="inlineStr">
        <is>
          <t>小量工時 h</t>
        </is>
      </c>
      <c r="D18" s="79" t="inlineStr">
        <is>
          <t>小量人工 NT$（中）</t>
        </is>
      </c>
      <c r="E18" s="79" t="inlineStr">
        <is>
          <t>備註</t>
        </is>
      </c>
    </row>
    <row r="19" ht="20" customHeight="1">
      <c r="A19" s="8" t="inlineStr">
        <is>
          <t>選料拼板層積（人工）</t>
        </is>
      </c>
      <c r="B19" s="112" t="n">
        <v>5</v>
      </c>
      <c r="C19" s="112" t="n">
        <v>3</v>
      </c>
      <c r="D19" s="80" t="n">
        <v>1800</v>
      </c>
      <c r="E19" s="8" t="inlineStr">
        <is>
          <t>含養膠</t>
        </is>
      </c>
    </row>
    <row r="20" ht="20" customHeight="1">
      <c r="A20" s="10" t="inlineStr">
        <is>
          <t>CNC 機時費（折舊＋電＋刀）</t>
        </is>
      </c>
      <c r="B20" s="113" t="n">
        <v>10</v>
      </c>
      <c r="C20" s="113" t="n">
        <v>6</v>
      </c>
      <c r="D20" s="81" t="n">
        <v>7200</v>
      </c>
      <c r="E20" s="10" t="inlineStr">
        <is>
          <t>非工資；機台小時費</t>
        </is>
      </c>
    </row>
    <row r="21" ht="20" customHeight="1">
      <c r="A21" s="8" t="inlineStr">
        <is>
          <t>CNC 操作人工</t>
        </is>
      </c>
      <c r="B21" s="112" t="n">
        <v>10</v>
      </c>
      <c r="C21" s="112" t="n">
        <v>6</v>
      </c>
      <c r="D21" s="80" t="n">
        <v>2700</v>
      </c>
      <c r="E21" s="8" t="inlineStr">
        <is>
          <t>一人看機</t>
        </is>
      </c>
    </row>
    <row r="22" ht="20" customHeight="1">
      <c r="A22" s="10" t="inlineStr">
        <is>
          <t>組裝校正</t>
        </is>
      </c>
      <c r="B22" s="113" t="n">
        <v>2.5</v>
      </c>
      <c r="C22" s="113" t="n">
        <v>1.2</v>
      </c>
      <c r="D22" s="81" t="n">
        <v>720</v>
      </c>
      <c r="E22" s="10" t="inlineStr">
        <is>
          <t>對位治具</t>
        </is>
      </c>
    </row>
    <row r="23" ht="20" customHeight="1">
      <c r="A23" s="8" t="inlineStr">
        <is>
          <t>砂光</t>
        </is>
      </c>
      <c r="B23" s="112" t="n">
        <v>16</v>
      </c>
      <c r="C23" s="112" t="n">
        <v>10</v>
      </c>
      <c r="D23" s="80" t="n">
        <v>6000</v>
      </c>
      <c r="E23" s="8" t="inlineStr">
        <is>
          <t>最大成本風險</t>
        </is>
      </c>
    </row>
    <row r="24" ht="20" customHeight="1">
      <c r="A24" s="10" t="inlineStr">
        <is>
          <t>塗裝</t>
        </is>
      </c>
      <c r="B24" s="113" t="n">
        <v>3.5</v>
      </c>
      <c r="C24" s="113" t="n">
        <v>3</v>
      </c>
      <c r="D24" s="81" t="n">
        <v>1650</v>
      </c>
      <c r="E24" s="10" t="inlineStr">
        <is>
          <t>不含乾燥等待工資</t>
        </is>
      </c>
    </row>
    <row r="25" ht="20" customHeight="1">
      <c r="A25" s="8" t="inlineStr">
        <is>
          <t>軟包配合／總裝</t>
        </is>
      </c>
      <c r="B25" s="112" t="n">
        <v>2</v>
      </c>
      <c r="C25" s="112" t="n">
        <v>1.2</v>
      </c>
      <c r="D25" s="80" t="n">
        <v>720</v>
      </c>
      <c r="E25" s="8" t="inlineStr">
        <is>
          <t>軟包本體已在材料</t>
        </is>
      </c>
    </row>
    <row r="26">
      <c r="A26" s="114" t="inlineStr">
        <is>
          <t>人工＋機時小計（小量）</t>
        </is>
      </c>
      <c r="B26" s="115">
        <f>SUM(B19:B25)</f>
        <v/>
      </c>
      <c r="C26" s="115">
        <f>SUM(C19:C25)</f>
        <v/>
      </c>
      <c r="D26" s="116">
        <f>SUM(D19:D25)</f>
        <v/>
      </c>
      <c r="E26" s="117" t="n"/>
    </row>
    <row r="28">
      <c r="A28" s="78" t="inlineStr">
        <is>
          <t>三、單椅製造成本滾算</t>
        </is>
      </c>
    </row>
    <row r="29">
      <c r="A29" s="6" t="inlineStr">
        <is>
          <t>項目</t>
        </is>
      </c>
      <c r="B29" s="6" t="inlineStr">
        <is>
          <t>打樣 1 件</t>
        </is>
      </c>
      <c r="C29" s="6" t="inlineStr">
        <is>
          <t>小量 10 件／件</t>
        </is>
      </c>
      <c r="D29" s="6" t="inlineStr">
        <is>
          <t>備註</t>
        </is>
      </c>
    </row>
    <row r="30" ht="22" customHeight="1">
      <c r="A30" s="8" t="inlineStr">
        <is>
          <t>直接材料</t>
        </is>
      </c>
      <c r="B30" s="118" t="n">
        <v>42465</v>
      </c>
      <c r="C30" s="118" t="n">
        <v>23565</v>
      </c>
      <c r="D30" s="8" t="inlineStr">
        <is>
          <t>打樣含治具全額；小量已攤 1/10</t>
        </is>
      </c>
    </row>
    <row r="31" ht="22" customHeight="1">
      <c r="A31" s="10" t="inlineStr">
        <is>
          <t>直接人工＋CNC 機時</t>
        </is>
      </c>
      <c r="B31" s="119" t="n">
        <v>33725</v>
      </c>
      <c r="C31" s="119" t="n">
        <v>20790</v>
      </c>
      <c r="D31" s="10" t="inlineStr">
        <is>
          <t>打樣工時較高、CAM 另計一次性 40–80 h</t>
        </is>
      </c>
    </row>
    <row r="32" ht="22" customHeight="1">
      <c r="A32" s="8" t="inlineStr">
        <is>
          <t>不良／備料風險</t>
        </is>
      </c>
      <c r="B32" s="118" t="n">
        <v>7619</v>
      </c>
      <c r="C32" s="118" t="n">
        <v>3548</v>
      </c>
      <c r="D32" s="8" t="inlineStr">
        <is>
          <t>打樣 10%／小量 8%</t>
        </is>
      </c>
    </row>
    <row r="33" ht="22" customHeight="1">
      <c r="A33" s="120" t="inlineStr">
        <is>
          <t>製造成本小計</t>
        </is>
      </c>
      <c r="B33" s="121" t="n">
        <v>83809</v>
      </c>
      <c r="C33" s="121" t="n">
        <v>47903</v>
      </c>
      <c r="D33" s="120" t="inlineStr">
        <is>
          <t>不含管銷、設計、運費、CAM 建模</t>
        </is>
      </c>
    </row>
    <row r="34" ht="22" customHeight="1">
      <c r="A34" s="120" t="inlineStr">
        <is>
          <t>管銷 18%</t>
        </is>
      </c>
      <c r="B34" s="121" t="n">
        <v>15086</v>
      </c>
      <c r="C34" s="121" t="n">
        <v>8623</v>
      </c>
      <c r="D34" s="120" t="inlineStr">
        <is>
          <t>場租、管理、品管</t>
        </is>
      </c>
    </row>
    <row r="35" ht="22" customHeight="1">
      <c r="A35" s="120" t="inlineStr">
        <is>
          <t>建議出廠底價（未加利潤）</t>
        </is>
      </c>
      <c r="B35" s="121" t="n">
        <v>98895</v>
      </c>
      <c r="C35" s="121" t="n">
        <v>56526</v>
      </c>
      <c r="D35" s="120" t="inlineStr">
        <is>
          <t>利潤建議再加 20–35%</t>
        </is>
      </c>
    </row>
    <row r="36" ht="22" customHeight="1">
      <c r="A36" s="109" t="inlineStr">
        <is>
          <t>建議出廠價（含約 25% 利潤）</t>
        </is>
      </c>
      <c r="B36" s="110" t="n">
        <v>123618</v>
      </c>
      <c r="C36" s="110" t="n">
        <v>70658</v>
      </c>
      <c r="D36" s="109" t="inlineStr">
        <is>
          <t>對客報價參考，非正式報價單</t>
        </is>
      </c>
    </row>
    <row r="38">
      <c r="A38" s="122" t="inlineStr">
        <is>
          <t>報價指引：白橡＋中配軟包，小量建議出廠 NT$70,000–130,000／椅；打樣 NT$120,000–200,000。胡桃或頭層高配皮另議。CAM／建模為一次性費用，建議報價時獨立成項，勿攤進第一件後消失。本表可作內部成本，不可直接當客戶報價單。</t>
        </is>
      </c>
    </row>
    <row r="39"/>
    <row r="40"/>
  </sheetData>
  <mergeCells count="14">
    <mergeCell ref="A4:B4"/>
    <mergeCell ref="G4:H4"/>
    <mergeCell ref="E4:F4"/>
    <mergeCell ref="A17:E17"/>
    <mergeCell ref="A2:H2"/>
    <mergeCell ref="A28:E28"/>
    <mergeCell ref="A38:E40"/>
    <mergeCell ref="A5:E5"/>
    <mergeCell ref="A1:H1"/>
    <mergeCell ref="C3:D3"/>
    <mergeCell ref="A3:B3"/>
    <mergeCell ref="G3:H3"/>
    <mergeCell ref="E3:F3"/>
    <mergeCell ref="C4:D4"/>
  </mergeCells>
  <pageMargins left="0.5" right="0.5" top="0.7" bottom="0.6" header="0.3" footer="0.3"/>
  <pageSetup orientation="landscape" paperSize="8" fitToHeight="1" fitToWidth="1"/>
  <headerFooter>
    <oddHeader>&amp;L&amp;B WAVE Lounge Chair&amp;R成本彙總</oddHeader>
    <oddFooter>&amp;LWAVE-LC-001  BOM  Rev.A&amp;C概念工程 BOM，不可直接當採購單（未凍結 3D）&amp;R第 &amp;P / &amp;N 頁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A6B8A"/>
    <outlinePr summaryBelow="1" summaryRight="1"/>
    <pageSetUpPr fitToPage="1"/>
  </sheetPr>
  <dimension ref="A1:I24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44" customWidth="1" min="4" max="4"/>
    <col width="12" customWidth="1" min="5" max="5"/>
    <col width="8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WAVE  LOUNGE  CHAIR    工程用料清單  EBOM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僅列外購項　　自製件見 01／02　　可直接轉請購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8" customHeight="1">
      <c r="A3" s="15" t="inlineStr">
        <is>
          <t>用途</t>
        </is>
      </c>
      <c r="B3" s="15" t="n"/>
      <c r="C3" s="15" t="inlineStr">
        <is>
          <t>數量基準</t>
        </is>
      </c>
      <c r="D3" s="15" t="n"/>
      <c r="E3" s="15" t="inlineStr">
        <is>
          <t>建議批量</t>
        </is>
      </c>
      <c r="F3" s="15" t="n"/>
      <c r="G3" s="15" t="inlineStr">
        <is>
          <t>幣別</t>
        </is>
      </c>
      <c r="H3" s="15" t="n"/>
      <c r="I3" s="15" t="n"/>
    </row>
    <row r="4" ht="18" customHeight="1">
      <c r="A4" s="16" t="inlineStr">
        <is>
          <t>請購／比價</t>
        </is>
      </c>
      <c r="B4" s="16" t="n"/>
      <c r="C4" s="16" t="inlineStr">
        <is>
          <t>1 椅；下單請乘批量</t>
        </is>
      </c>
      <c r="D4" s="16" t="n"/>
      <c r="E4" s="16" t="inlineStr">
        <is>
          <t>10 椅＋備料 15%</t>
        </is>
      </c>
      <c r="F4" s="16" t="n"/>
      <c r="G4" s="16" t="inlineStr">
        <is>
          <t>NT$</t>
        </is>
      </c>
      <c r="H4" s="16" t="n"/>
      <c r="I4" s="16" t="n"/>
    </row>
    <row r="5">
      <c r="A5" s="11" t="inlineStr">
        <is>
          <t>項次</t>
        </is>
      </c>
      <c r="B5" s="11" t="inlineStr">
        <is>
          <t>料號</t>
        </is>
      </c>
      <c r="C5" s="11" t="inlineStr">
        <is>
          <t>名稱</t>
        </is>
      </c>
      <c r="D5" s="11" t="inlineStr">
        <is>
          <t>規格</t>
        </is>
      </c>
      <c r="E5" s="11" t="inlineStr">
        <is>
          <t>每椅用量</t>
        </is>
      </c>
      <c r="F5" s="11" t="inlineStr">
        <is>
          <t>單位</t>
        </is>
      </c>
      <c r="G5" s="11" t="inlineStr">
        <is>
          <t>10 椅＋15%</t>
        </is>
      </c>
      <c r="H5" s="11" t="inlineStr">
        <is>
          <t>預估單價中</t>
        </is>
      </c>
      <c r="I5" s="11" t="inlineStr">
        <is>
          <t>10 椅金額中</t>
        </is>
      </c>
    </row>
    <row r="6" ht="28" customHeight="1">
      <c r="A6" s="123" t="n">
        <v>1</v>
      </c>
      <c r="B6" s="124" t="inlineStr">
        <is>
          <t>WAVE-J01</t>
        </is>
      </c>
      <c r="C6" s="125" t="inlineStr">
        <is>
          <t>圓榫／鬆榫</t>
        </is>
      </c>
      <c r="D6" s="125" t="inlineStr">
        <is>
          <t>山毛櫸 Ø8 × 40，或 Domino 8×50（結構節點改 14×75）</t>
        </is>
      </c>
      <c r="E6" s="126" t="n">
        <v>18</v>
      </c>
      <c r="F6" s="123" t="inlineStr">
        <is>
          <t>支</t>
        </is>
      </c>
      <c r="G6" s="126" t="n">
        <v>207</v>
      </c>
      <c r="H6" s="127" t="n">
        <v>8.333333333333334</v>
      </c>
      <c r="I6" s="128" t="n">
        <v>1725</v>
      </c>
    </row>
    <row r="7" ht="28" customHeight="1">
      <c r="A7" s="129" t="n">
        <v>2</v>
      </c>
      <c r="B7" s="130" t="inlineStr">
        <is>
          <t>WAVE-J02</t>
        </is>
      </c>
      <c r="C7" s="131" t="inlineStr">
        <is>
          <t>對位銷（組裝治具用，成品不留）</t>
        </is>
      </c>
      <c r="D7" s="131" t="inlineStr">
        <is>
          <t>鋼銷 Ø8 h6，或工藝孔內木銷後切掉</t>
        </is>
      </c>
      <c r="E7" s="132" t="n">
        <v>4</v>
      </c>
      <c r="F7" s="129" t="inlineStr">
        <is>
          <t>支</t>
        </is>
      </c>
      <c r="G7" s="132" t="n">
        <v>46</v>
      </c>
      <c r="H7" s="133" t="n">
        <v>10</v>
      </c>
      <c r="I7" s="134" t="n">
        <v>460</v>
      </c>
    </row>
    <row r="8" ht="28" customHeight="1">
      <c r="A8" s="123" t="n">
        <v>3</v>
      </c>
      <c r="B8" s="124" t="inlineStr">
        <is>
          <t>WAVE-H01</t>
        </is>
      </c>
      <c r="C8" s="125" t="inlineStr">
        <is>
          <t>隱藏調整腳墊</t>
        </is>
      </c>
      <c r="D8" s="125" t="inlineStr">
        <is>
          <t>Ø20–25 mm，M8 牙，調程 ±3 mm，底附氈</t>
        </is>
      </c>
      <c r="E8" s="126" t="n">
        <v>4</v>
      </c>
      <c r="F8" s="123" t="inlineStr">
        <is>
          <t>顆</t>
        </is>
      </c>
      <c r="G8" s="126" t="n">
        <v>46</v>
      </c>
      <c r="H8" s="127" t="n">
        <v>30</v>
      </c>
      <c r="I8" s="128" t="n">
        <v>1380</v>
      </c>
    </row>
    <row r="9" ht="28" customHeight="1">
      <c r="A9" s="129" t="n">
        <v>4</v>
      </c>
      <c r="B9" s="130" t="inlineStr">
        <is>
          <t>WAVE-H02</t>
        </is>
      </c>
      <c r="C9" s="131" t="inlineStr">
        <is>
          <t>防刮氈墊（備用）</t>
        </is>
      </c>
      <c r="D9" s="131" t="inlineStr">
        <is>
          <t>Ø25 自黏羊毛氈，厚 3 mm</t>
        </is>
      </c>
      <c r="E9" s="132" t="n">
        <v>4</v>
      </c>
      <c r="F9" s="129" t="inlineStr">
        <is>
          <t>片</t>
        </is>
      </c>
      <c r="G9" s="132" t="n">
        <v>46</v>
      </c>
      <c r="H9" s="133" t="n">
        <v>5</v>
      </c>
      <c r="I9" s="134" t="n">
        <v>230</v>
      </c>
    </row>
    <row r="10" ht="28" customHeight="1">
      <c r="A10" s="123" t="n">
        <v>5</v>
      </c>
      <c r="B10" s="124" t="inlineStr">
        <is>
          <t>WAVE-H03</t>
        </is>
      </c>
      <c r="C10" s="125" t="inlineStr">
        <is>
          <t>軟包定位（魔鬼氈或暗銷）</t>
        </is>
      </c>
      <c r="D10" s="125" t="inlineStr">
        <is>
          <t>3M Dual Lock 或 Ø6 木暗銷 4 點</t>
        </is>
      </c>
      <c r="E10" s="126" t="n">
        <v>1</v>
      </c>
      <c r="F10" s="123" t="inlineStr">
        <is>
          <t>套</t>
        </is>
      </c>
      <c r="G10" s="126" t="n">
        <v>11.5</v>
      </c>
      <c r="H10" s="127" t="n">
        <v>60</v>
      </c>
      <c r="I10" s="128" t="n">
        <v>690</v>
      </c>
    </row>
    <row r="11" ht="28" customHeight="1">
      <c r="A11" s="129" t="n">
        <v>6</v>
      </c>
      <c r="B11" s="130" t="inlineStr">
        <is>
          <t>WAVE-G01</t>
        </is>
      </c>
      <c r="C11" s="131" t="inlineStr">
        <is>
          <t>層積膠</t>
        </is>
      </c>
      <c r="D11" s="131" t="inlineStr">
        <is>
          <t>EPI 或 PVAc D4，實木層積</t>
        </is>
      </c>
      <c r="E11" s="132" t="n">
        <v>0.8</v>
      </c>
      <c r="F11" s="129" t="inlineStr">
        <is>
          <t>kg</t>
        </is>
      </c>
      <c r="G11" s="132" t="n">
        <v>9.199999999999999</v>
      </c>
      <c r="H11" s="133" t="n">
        <v>250</v>
      </c>
      <c r="I11" s="134" t="n">
        <v>2300</v>
      </c>
    </row>
    <row r="12" ht="28" customHeight="1">
      <c r="A12" s="123" t="n">
        <v>7</v>
      </c>
      <c r="B12" s="124" t="inlineStr">
        <is>
          <t>WAVE-G02</t>
        </is>
      </c>
      <c r="C12" s="125" t="inlineStr">
        <is>
          <t>結構組裝膠</t>
        </is>
      </c>
      <c r="D12" s="125" t="inlineStr">
        <is>
          <t>室溫環氧或高固形 PU（端紋／止口）</t>
        </is>
      </c>
      <c r="E12" s="126" t="n">
        <v>0.08</v>
      </c>
      <c r="F12" s="123" t="inlineStr">
        <is>
          <t>kg</t>
        </is>
      </c>
      <c r="G12" s="126" t="n">
        <v>0.9199999999999999</v>
      </c>
      <c r="H12" s="127" t="n">
        <v>1750</v>
      </c>
      <c r="I12" s="128" t="n">
        <v>1610</v>
      </c>
    </row>
    <row r="13" ht="28" customHeight="1">
      <c r="A13" s="129" t="n">
        <v>8</v>
      </c>
      <c r="B13" s="130" t="inlineStr">
        <is>
          <t>WAVE-G03</t>
        </is>
      </c>
      <c r="C13" s="131" t="inlineStr">
        <is>
          <t>填孔劑（橡木導管）</t>
        </is>
      </c>
      <c r="D13" s="131" t="inlineStr">
        <is>
          <t>油性／水性木紋填孔，淺橡色</t>
        </is>
      </c>
      <c r="E13" s="132" t="n">
        <v>0.04</v>
      </c>
      <c r="F13" s="129" t="inlineStr">
        <is>
          <t>kg</t>
        </is>
      </c>
      <c r="G13" s="132" t="n">
        <v>0.46</v>
      </c>
      <c r="H13" s="133" t="n">
        <v>1250</v>
      </c>
      <c r="I13" s="134" t="n">
        <v>575</v>
      </c>
    </row>
    <row r="14" ht="28" customHeight="1">
      <c r="A14" s="123" t="n">
        <v>9</v>
      </c>
      <c r="B14" s="124" t="inlineStr">
        <is>
          <t>WAVE-F01</t>
        </is>
      </c>
      <c r="C14" s="125" t="inlineStr">
        <is>
          <t>硬質油／硬蠟油</t>
        </is>
      </c>
      <c r="D14" s="125" t="inlineStr">
        <is>
          <t>Osmo / Rubio 類，原色或白橡透明</t>
        </is>
      </c>
      <c r="E14" s="126" t="n">
        <v>0.17</v>
      </c>
      <c r="F14" s="123" t="inlineStr">
        <is>
          <t>L</t>
        </is>
      </c>
      <c r="G14" s="126" t="n">
        <v>1.955</v>
      </c>
      <c r="H14" s="127" t="n">
        <v>1647.058823529412</v>
      </c>
      <c r="I14" s="128" t="n">
        <v>3220</v>
      </c>
    </row>
    <row r="15" ht="28" customHeight="1">
      <c r="A15" s="129" t="n">
        <v>10</v>
      </c>
      <c r="B15" s="130" t="inlineStr">
        <is>
          <t>WAVE-F02</t>
        </is>
      </c>
      <c r="C15" s="131" t="inlineStr">
        <is>
          <t>砂紙耗材</t>
        </is>
      </c>
      <c r="D15" s="131" t="inlineStr">
        <is>
          <t>80 / 120 / 180 / 240 / 320，布基＋海綿砂</t>
        </is>
      </c>
      <c r="E15" s="132" t="n">
        <v>1</v>
      </c>
      <c r="F15" s="129" t="inlineStr">
        <is>
          <t>套</t>
        </is>
      </c>
      <c r="G15" s="132" t="n">
        <v>11.5</v>
      </c>
      <c r="H15" s="133" t="n">
        <v>110</v>
      </c>
      <c r="I15" s="134" t="n">
        <v>1265</v>
      </c>
    </row>
    <row r="16" ht="28" customHeight="1">
      <c r="A16" s="123" t="n">
        <v>11</v>
      </c>
      <c r="B16" s="124" t="inlineStr">
        <is>
          <t>WAVE-F03</t>
        </is>
      </c>
      <c r="C16" s="125" t="inlineStr">
        <is>
          <t>拋光布／吸塵耗材</t>
        </is>
      </c>
      <c r="D16" s="125" t="inlineStr">
        <is>
          <t>無紡布、黏塵布</t>
        </is>
      </c>
      <c r="E16" s="126" t="n">
        <v>1</v>
      </c>
      <c r="F16" s="123" t="inlineStr">
        <is>
          <t>套</t>
        </is>
      </c>
      <c r="G16" s="126" t="n">
        <v>11.5</v>
      </c>
      <c r="H16" s="127" t="n">
        <v>35</v>
      </c>
      <c r="I16" s="128" t="n">
        <v>402.5</v>
      </c>
    </row>
    <row r="17" ht="28" customHeight="1">
      <c r="A17" s="129" t="n">
        <v>12</v>
      </c>
      <c r="B17" s="130" t="inlineStr">
        <is>
          <t>WAVE-U01</t>
        </is>
      </c>
      <c r="C17" s="131" t="inlineStr">
        <is>
          <t>成型坐墊泡棉</t>
        </is>
      </c>
      <c r="D17" s="131" t="inlineStr">
        <is>
          <t>冷熟成型 HR，55–70 kg/m³，厚 60–90 mm</t>
        </is>
      </c>
      <c r="E17" s="132" t="n">
        <v>1</v>
      </c>
      <c r="F17" s="129" t="inlineStr">
        <is>
          <t>件</t>
        </is>
      </c>
      <c r="G17" s="132" t="n">
        <v>11.5</v>
      </c>
      <c r="H17" s="133" t="n">
        <v>1100</v>
      </c>
      <c r="I17" s="134" t="n">
        <v>12650</v>
      </c>
    </row>
    <row r="18" ht="28" customHeight="1">
      <c r="A18" s="123" t="n">
        <v>13</v>
      </c>
      <c r="B18" s="124" t="inlineStr">
        <is>
          <t>WAVE-U02</t>
        </is>
      </c>
      <c r="C18" s="125" t="inlineStr">
        <is>
          <t>靠背成型泡棉</t>
        </is>
      </c>
      <c r="D18" s="125" t="inlineStr">
        <is>
          <t>同 U01，可與坐墊一體或分件</t>
        </is>
      </c>
      <c r="E18" s="126" t="n">
        <v>1</v>
      </c>
      <c r="F18" s="123" t="inlineStr">
        <is>
          <t>件</t>
        </is>
      </c>
      <c r="G18" s="126" t="n">
        <v>11.5</v>
      </c>
      <c r="H18" s="127" t="n">
        <v>900</v>
      </c>
      <c r="I18" s="128" t="n">
        <v>10350</v>
      </c>
    </row>
    <row r="19" ht="28" customHeight="1">
      <c r="A19" s="129" t="n">
        <v>14</v>
      </c>
      <c r="B19" s="130" t="inlineStr">
        <is>
          <t>WAVE-U03</t>
        </is>
      </c>
      <c r="C19" s="131" t="inlineStr">
        <is>
          <t>表布／皮革</t>
        </is>
      </c>
      <c r="D19" s="131" t="inlineStr">
        <is>
          <t>頭層牛皮約 1.0 m²，或超纖 1.3 m</t>
        </is>
      </c>
      <c r="E19" s="132" t="n">
        <v>1</v>
      </c>
      <c r="F19" s="129" t="inlineStr">
        <is>
          <t>套</t>
        </is>
      </c>
      <c r="G19" s="132" t="n">
        <v>11.5</v>
      </c>
      <c r="H19" s="133" t="n">
        <v>2800</v>
      </c>
      <c r="I19" s="134" t="n">
        <v>32200</v>
      </c>
    </row>
    <row r="20" ht="28" customHeight="1">
      <c r="A20" s="123" t="n">
        <v>15</v>
      </c>
      <c r="B20" s="124" t="inlineStr">
        <is>
          <t>WAVE-U04</t>
        </is>
      </c>
      <c r="C20" s="125" t="inlineStr">
        <is>
          <t>底布＋襯材</t>
        </is>
      </c>
      <c r="D20" s="125" t="inlineStr">
        <is>
          <t>無紡布、定型棉 120–200 g、暗拉鍊 #5</t>
        </is>
      </c>
      <c r="E20" s="126" t="n">
        <v>1</v>
      </c>
      <c r="F20" s="123" t="inlineStr">
        <is>
          <t>套</t>
        </is>
      </c>
      <c r="G20" s="126" t="n">
        <v>11.5</v>
      </c>
      <c r="H20" s="127" t="n">
        <v>150</v>
      </c>
      <c r="I20" s="128" t="n">
        <v>1725</v>
      </c>
    </row>
    <row r="21" ht="28" customHeight="1">
      <c r="A21" s="129" t="n">
        <v>16</v>
      </c>
      <c r="B21" s="130" t="inlineStr">
        <is>
          <t>WAVE-P01</t>
        </is>
      </c>
      <c r="C21" s="131" t="inlineStr">
        <is>
          <t>外箱</t>
        </is>
      </c>
      <c r="D21" s="131" t="inlineStr">
        <is>
          <t>BC 楞，內徑約 1020 × 1080 × 900（整椅出貨）</t>
        </is>
      </c>
      <c r="E21" s="132" t="n">
        <v>1</v>
      </c>
      <c r="F21" s="129" t="inlineStr">
        <is>
          <t>只</t>
        </is>
      </c>
      <c r="G21" s="132" t="n">
        <v>11.5</v>
      </c>
      <c r="H21" s="133" t="n">
        <v>230</v>
      </c>
      <c r="I21" s="134" t="n">
        <v>2645</v>
      </c>
    </row>
    <row r="22" ht="28" customHeight="1">
      <c r="A22" s="123" t="n">
        <v>17</v>
      </c>
      <c r="B22" s="124" t="inlineStr">
        <is>
          <t>WAVE-P02</t>
        </is>
      </c>
      <c r="C22" s="125" t="inlineStr">
        <is>
          <t>EPE／護角</t>
        </is>
      </c>
      <c r="D22" s="125" t="inlineStr">
        <is>
          <t>EPE 20–30 mm ＋ 紙護角</t>
        </is>
      </c>
      <c r="E22" s="126" t="n">
        <v>1</v>
      </c>
      <c r="F22" s="123" t="inlineStr">
        <is>
          <t>套</t>
        </is>
      </c>
      <c r="G22" s="126" t="n">
        <v>11.5</v>
      </c>
      <c r="H22" s="127" t="n">
        <v>110</v>
      </c>
      <c r="I22" s="128" t="n">
        <v>1265</v>
      </c>
    </row>
    <row r="23" ht="28" customHeight="1">
      <c r="A23" s="129" t="n">
        <v>18</v>
      </c>
      <c r="B23" s="130" t="inlineStr">
        <is>
          <t>WAVE-P03</t>
        </is>
      </c>
      <c r="C23" s="131" t="inlineStr">
        <is>
          <t>PE袋、乾燥劑、銘牌、說明書</t>
        </is>
      </c>
      <c r="D23" s="131" t="inlineStr">
        <is>
          <t>防塵袋＋10 g 乾燥劑×2＋金屬／木銘牌</t>
        </is>
      </c>
      <c r="E23" s="132" t="n">
        <v>1</v>
      </c>
      <c r="F23" s="129" t="inlineStr">
        <is>
          <t>套</t>
        </is>
      </c>
      <c r="G23" s="132" t="n">
        <v>11.5</v>
      </c>
      <c r="H23" s="133" t="n">
        <v>70</v>
      </c>
      <c r="I23" s="134" t="n">
        <v>805</v>
      </c>
    </row>
    <row r="24">
      <c r="A24" s="65" t="inlineStr">
        <is>
          <t>10 椅外購小計（中位，含 15% 備料）</t>
        </is>
      </c>
      <c r="B24" s="68" t="n"/>
      <c r="C24" s="68" t="n"/>
      <c r="D24" s="68" t="n"/>
      <c r="E24" s="68" t="n"/>
      <c r="F24" s="68" t="n"/>
      <c r="G24" s="68" t="n"/>
      <c r="H24" s="68" t="n"/>
      <c r="I24" s="67">
        <f>SUM(I6:I23)</f>
        <v/>
      </c>
    </row>
  </sheetData>
  <autoFilter ref="A5:I23"/>
  <mergeCells count="11">
    <mergeCell ref="A4:B4"/>
    <mergeCell ref="E4:F4"/>
    <mergeCell ref="A2:I2"/>
    <mergeCell ref="A24:H24"/>
    <mergeCell ref="A1:I1"/>
    <mergeCell ref="G4:I4"/>
    <mergeCell ref="G3:I3"/>
    <mergeCell ref="C3:D3"/>
    <mergeCell ref="A3:B3"/>
    <mergeCell ref="E3:F3"/>
    <mergeCell ref="C4:D4"/>
  </mergeCells>
  <pageMargins left="0.5" right="0.5" top="0.7" bottom="0.6" header="0.3" footer="0.3"/>
  <pageSetup orientation="landscape" paperSize="8" fitToHeight="1" fitToWidth="1"/>
  <headerFooter>
    <oddHeader>&amp;L&amp;B WAVE Lounge Chair&amp;R外購清單</oddHeader>
    <oddFooter>&amp;LWAVE-LC-001  BOM  Rev.A&amp;C概念工程 BOM，不可直接當採購單（未凍結 3D）&amp;R第 &amp;P / &amp;N 頁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B6560"/>
    <outlinePr summaryBelow="1" summaryRight="1"/>
    <pageSetUpPr fitToPage="1"/>
  </sheetPr>
  <dimension ref="A1:E10"/>
  <sheetViews>
    <sheetView showGridLines="0" zoomScale="11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60" customWidth="1" min="5" max="5"/>
  </cols>
  <sheetData>
    <row r="1" ht="24" customHeight="1">
      <c r="A1" s="1" t="inlineStr">
        <is>
          <t>WAVE  LOUNGE  CHAIR    工程用料清單  EBOM</t>
        </is>
      </c>
      <c r="B1" s="2" t="n"/>
      <c r="C1" s="2" t="n"/>
      <c r="D1" s="2" t="n"/>
      <c r="E1" s="2" t="n"/>
    </row>
    <row r="2" ht="16" customHeight="1">
      <c r="A2" s="3" t="inlineStr">
        <is>
          <t>文件管制</t>
        </is>
      </c>
      <c r="B2" s="4" t="n"/>
      <c r="C2" s="4" t="n"/>
      <c r="D2" s="4" t="n"/>
      <c r="E2" s="4" t="n"/>
    </row>
    <row r="4">
      <c r="A4" s="6" t="inlineStr">
        <is>
          <t>版次</t>
        </is>
      </c>
      <c r="B4" s="6" t="inlineStr">
        <is>
          <t>日期</t>
        </is>
      </c>
      <c r="C4" s="6" t="inlineStr">
        <is>
          <t>編製</t>
        </is>
      </c>
      <c r="D4" s="6" t="inlineStr">
        <is>
          <t>核准</t>
        </is>
      </c>
      <c r="E4" s="6" t="inlineStr">
        <is>
          <t>說明</t>
        </is>
      </c>
    </row>
    <row r="5" ht="36" customHeight="1">
      <c r="A5" s="13" t="inlineStr">
        <is>
          <t>A</t>
        </is>
      </c>
      <c r="B5" s="13" t="inlineStr">
        <is>
          <t>2026-08-16</t>
        </is>
      </c>
      <c r="C5" s="13" t="inlineStr">
        <is>
          <t>材料顧問／生產優化</t>
        </is>
      </c>
      <c r="D5" s="13" t="inlineStr">
        <is>
          <t>待主設計師確認</t>
        </is>
      </c>
      <c r="E5" s="8" t="inlineStr">
        <is>
          <t>初版概念 EBOM。依 WAVE-LC-001 Rev.A 控制尺寸與分件 A/B/C 建立。3D 凍結後升版 B。</t>
        </is>
      </c>
    </row>
    <row r="7">
      <c r="A7" s="135" t="inlineStr">
        <is>
          <t>升版條件（任一發生即出 Rev.B）：
• 樹種或表面處理定案與本表不同
• 分件由 A/B/C 改為其他切法
• 軟包定案為一體或分件、皮／布確認
• 3D 凍結、毛坯尺寸改為實量</t>
        </is>
      </c>
    </row>
    <row r="8"/>
    <row r="9"/>
    <row r="10"/>
  </sheetData>
  <mergeCells count="3">
    <mergeCell ref="A2:E2"/>
    <mergeCell ref="A1:E1"/>
    <mergeCell ref="A7:E10"/>
  </mergeCells>
  <pageMargins left="0.5" right="0.5" top="0.7" bottom="0.6" header="0.3" footer="0.3"/>
  <pageSetup orientation="portrait" paperSize="9" fitToHeight="1" fitToWidth="1"/>
  <headerFooter>
    <oddHeader>&amp;L&amp;B WAVE Lounge Chair&amp;R修訂紀錄</oddHeader>
    <oddFooter>&amp;LWAVE-LC-001  BOM  Rev.A&amp;C概念工程 BOM，不可直接當採購單（未凍結 3D）&amp;R第 &amp;P /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2026-08-16T00:33:05Z</dcterms:created>
  <dcterms:modified xmlns:dcterms="http://purl.org/dc/terms/" xmlns:xsi="http://www.w3.org/2001/XMLSchema-instance" xsi:type="dcterms:W3CDTF">2026-08-16T00:33:05Z</dcterms:modified>
</cp:coreProperties>
</file>